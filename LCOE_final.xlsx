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kpoweh Gift\Downloads\"/>
    </mc:Choice>
  </mc:AlternateContent>
  <xr:revisionPtr revIDLastSave="0" documentId="13_ncr:1_{7C1E0520-F58A-4263-84EE-CD8E162DBF45}" xr6:coauthVersionLast="47" xr6:coauthVersionMax="47" xr10:uidLastSave="{00000000-0000-0000-0000-000000000000}"/>
  <bookViews>
    <workbookView xWindow="-120" yWindow="-120" windowWidth="29040" windowHeight="16440" tabRatio="500" activeTab="1" xr2:uid="{00000000-000D-0000-FFFF-FFFF00000000}"/>
  </bookViews>
  <sheets>
    <sheet name="Colofon" sheetId="1" r:id="rId1"/>
    <sheet name="Input_Output" sheetId="2" r:id="rId2"/>
    <sheet name="CFpower" sheetId="3" r:id="rId3"/>
    <sheet name="CFheat" sheetId="4" r:id="rId4"/>
  </sheets>
  <definedNames>
    <definedName name="capex_power">Input_Output!$D$34</definedName>
    <definedName name="capex_subsurface">Input_Output!$D$16</definedName>
    <definedName name="coheat_feedin">Input_Output!$D$49</definedName>
    <definedName name="coheatloadhours">Input_Output!$D$41</definedName>
    <definedName name="cop">Input_Output!$D$20</definedName>
    <definedName name="Cprock">Input_Output!$K$7</definedName>
    <definedName name="Cpwater">Input_Output!$K$4</definedName>
    <definedName name="debt_share">Input_Output!$D$60</definedName>
    <definedName name="depreciation_time">Input_Output!$D$64</definedName>
    <definedName name="depth">Input_Output!$D$6</definedName>
    <definedName name="DistanceToGrid">Input_Output!$D$31</definedName>
    <definedName name="DrillCosts">Input_Output!$D$12</definedName>
    <definedName name="Efficiency">Input_Output!$K$12</definedName>
    <definedName name="efficiencydirectheat">Input_Output!$K$17</definedName>
    <definedName name="electricity_buy">Input_Output!$D$21</definedName>
    <definedName name="equity_return">Input_Output!$D$58</definedName>
    <definedName name="equity_share">Input_Output!$D$59</definedName>
    <definedName name="fiscal_benefit">Input_Output!$D$54</definedName>
    <definedName name="fiscal_stimulus">Input_Output!$D$51</definedName>
    <definedName name="fixedOMrate">Input_Output!$D$35</definedName>
    <definedName name="flowrate">Input_Output!$D$5</definedName>
    <definedName name="GridConVar">Input_Output!$D$33</definedName>
    <definedName name="GridInvest">Input_Output!$D$32</definedName>
    <definedName name="heat_capex">Input_Output!$D$43</definedName>
    <definedName name="heat_mwth">Input_Output!$D$40</definedName>
    <definedName name="heat_OMfixed">Input_Output!$D$45</definedName>
    <definedName name="heat_OMvar">Input_Output!$D$46</definedName>
    <definedName name="heat_power">Input_Output!$B$40</definedName>
    <definedName name="inflation">Input_Output!$D$56</definedName>
    <definedName name="lifetime">Input_Output!$D$9</definedName>
    <definedName name="loan_rate">Input_Output!$D$57</definedName>
    <definedName name="nrofwells">Input_Output!$D$15</definedName>
    <definedName name="ooperation_choice">Input_Output!$G$2</definedName>
    <definedName name="PlantInvest">Input_Output!$D$30</definedName>
    <definedName name="Power">Input_Output!$D$28</definedName>
    <definedName name="power_feedin">Input_Output!$D$48</definedName>
    <definedName name="power_loadhours">Input_Output!$D$29</definedName>
    <definedName name="power_OMfixed">Input_Output!$D$36</definedName>
    <definedName name="power_OMvar">Input_Output!$D$37</definedName>
    <definedName name="_xlnm.Print_Area" localSheetId="1">Input_Output!$B$1:$H$70</definedName>
    <definedName name="_xlnm.Print_Titles" localSheetId="2">CFpower!$A:$D</definedName>
    <definedName name="pumpcost2">Input_Output!$D$14</definedName>
    <definedName name="pumps">Input_Output!$D$15</definedName>
    <definedName name="Rhorock">Input_Output!$K$8</definedName>
    <definedName name="Rhowater">Input_Output!$K$5</definedName>
    <definedName name="StimCosts">Input_Output!$D$13</definedName>
    <definedName name="stimulus_max">Input_Output!$D$53</definedName>
    <definedName name="stimulus_perc">Input_Output!$D$52</definedName>
    <definedName name="tax">Input_Output!$D$61</definedName>
    <definedName name="Tbase">Input_Output!$K$14</definedName>
    <definedName name="term_loan">Input_Output!$D$63</definedName>
    <definedName name="thermalpower_power">Input_Output!$D$27</definedName>
    <definedName name="toutlet">Input_Output!$D$25</definedName>
    <definedName name="Treinject">Input_Output!$D$39</definedName>
    <definedName name="Ts">Input_Output!$D$7</definedName>
    <definedName name="Tx">Input_Output!$D$8</definedName>
    <definedName name="variable_OM_pumps">Input_Output!$D$22</definedName>
    <definedName name="well_pump">Input_Output!$B$14</definedName>
    <definedName name="wellcostscaling">Input_Output!$D$11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4" l="1"/>
  <c r="V20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AS18" i="4"/>
  <c r="AS20" i="4" s="1"/>
  <c r="AR18" i="4"/>
  <c r="AQ18" i="4"/>
  <c r="AQ20" i="4" s="1"/>
  <c r="AP18" i="4"/>
  <c r="AP20" i="4" s="1"/>
  <c r="AO18" i="4"/>
  <c r="AN18" i="4"/>
  <c r="AN20" i="4" s="1"/>
  <c r="AM18" i="4"/>
  <c r="AM20" i="4" s="1"/>
  <c r="AL18" i="4"/>
  <c r="AL20" i="4" s="1"/>
  <c r="AK18" i="4"/>
  <c r="AJ18" i="4"/>
  <c r="AJ20" i="4" s="1"/>
  <c r="AI18" i="4"/>
  <c r="AI20" i="4" s="1"/>
  <c r="AH18" i="4"/>
  <c r="AH20" i="4" s="1"/>
  <c r="AG18" i="4"/>
  <c r="AG20" i="4" s="1"/>
  <c r="AF18" i="4"/>
  <c r="AE18" i="4"/>
  <c r="AE20" i="4" s="1"/>
  <c r="AD18" i="4"/>
  <c r="AD20" i="4" s="1"/>
  <c r="AC18" i="4"/>
  <c r="AB18" i="4"/>
  <c r="AB20" i="4" s="1"/>
  <c r="AA18" i="4"/>
  <c r="AA20" i="4" s="1"/>
  <c r="Z18" i="4"/>
  <c r="Z20" i="4" s="1"/>
  <c r="Y18" i="4"/>
  <c r="X18" i="4"/>
  <c r="X20" i="4" s="1"/>
  <c r="W18" i="4"/>
  <c r="W20" i="4" s="1"/>
  <c r="V18" i="4"/>
  <c r="U18" i="4"/>
  <c r="U20" i="4" s="1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AM15" i="4"/>
  <c r="AM22" i="4" s="1"/>
  <c r="AM23" i="4" s="1"/>
  <c r="AH15" i="4"/>
  <c r="AS14" i="4"/>
  <c r="AR14" i="4"/>
  <c r="AQ14" i="4"/>
  <c r="AP14" i="4"/>
  <c r="AO14" i="4"/>
  <c r="AO15" i="4" s="1"/>
  <c r="AN14" i="4"/>
  <c r="AM14" i="4"/>
  <c r="AL14" i="4"/>
  <c r="AK14" i="4"/>
  <c r="AJ14" i="4"/>
  <c r="AI14" i="4"/>
  <c r="AH14" i="4"/>
  <c r="AG14" i="4"/>
  <c r="AF14" i="4"/>
  <c r="AE14" i="4"/>
  <c r="AD14" i="4"/>
  <c r="AC14" i="4"/>
  <c r="AC15" i="4" s="1"/>
  <c r="AB14" i="4"/>
  <c r="AA14" i="4"/>
  <c r="Z14" i="4"/>
  <c r="Y14" i="4"/>
  <c r="X14" i="4"/>
  <c r="W14" i="4"/>
  <c r="V14" i="4"/>
  <c r="U14" i="4"/>
  <c r="AS13" i="4"/>
  <c r="AS15" i="4" s="1"/>
  <c r="AR13" i="4"/>
  <c r="AQ13" i="4"/>
  <c r="AQ15" i="4" s="1"/>
  <c r="AP13" i="4"/>
  <c r="AP15" i="4" s="1"/>
  <c r="AO13" i="4"/>
  <c r="AN13" i="4"/>
  <c r="AN15" i="4" s="1"/>
  <c r="AM13" i="4"/>
  <c r="AL13" i="4"/>
  <c r="AK13" i="4"/>
  <c r="AK15" i="4" s="1"/>
  <c r="AJ13" i="4"/>
  <c r="AI13" i="4"/>
  <c r="AI15" i="4" s="1"/>
  <c r="AH13" i="4"/>
  <c r="AG13" i="4"/>
  <c r="AG15" i="4" s="1"/>
  <c r="AF13" i="4"/>
  <c r="AE13" i="4"/>
  <c r="AE15" i="4" s="1"/>
  <c r="AD13" i="4"/>
  <c r="AD15" i="4" s="1"/>
  <c r="AC13" i="4"/>
  <c r="AB13" i="4"/>
  <c r="AB15" i="4" s="1"/>
  <c r="AA13" i="4"/>
  <c r="AA15" i="4" s="1"/>
  <c r="AA22" i="4" s="1"/>
  <c r="AA23" i="4" s="1"/>
  <c r="Z13" i="4"/>
  <c r="Y13" i="4"/>
  <c r="Y15" i="4" s="1"/>
  <c r="X13" i="4"/>
  <c r="W13" i="4"/>
  <c r="W15" i="4" s="1"/>
  <c r="V13" i="4"/>
  <c r="V15" i="4" s="1"/>
  <c r="U13" i="4"/>
  <c r="U15" i="4" s="1"/>
  <c r="AS10" i="4"/>
  <c r="AN10" i="4"/>
  <c r="AI10" i="4"/>
  <c r="AD10" i="4"/>
  <c r="Y10" i="4"/>
  <c r="T10" i="4"/>
  <c r="O10" i="4"/>
  <c r="J10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AS8" i="4"/>
  <c r="AR8" i="4"/>
  <c r="AQ8" i="4"/>
  <c r="AP8" i="4"/>
  <c r="AO8" i="4"/>
  <c r="AN8" i="4"/>
  <c r="AN28" i="4" s="1"/>
  <c r="AM8" i="4"/>
  <c r="AM28" i="4" s="1"/>
  <c r="AL8" i="4"/>
  <c r="AK8" i="4"/>
  <c r="AK28" i="4" s="1"/>
  <c r="AJ8" i="4"/>
  <c r="AI8" i="4"/>
  <c r="AH8" i="4"/>
  <c r="AH28" i="4" s="1"/>
  <c r="AG8" i="4"/>
  <c r="AF8" i="4"/>
  <c r="AE8" i="4"/>
  <c r="AD8" i="4"/>
  <c r="AC8" i="4"/>
  <c r="AB8" i="4"/>
  <c r="AB28" i="4" s="1"/>
  <c r="AA8" i="4"/>
  <c r="AA28" i="4" s="1"/>
  <c r="Z8" i="4"/>
  <c r="Y8" i="4"/>
  <c r="Y28" i="4" s="1"/>
  <c r="X8" i="4"/>
  <c r="W8" i="4"/>
  <c r="V8" i="4"/>
  <c r="V28" i="4" s="1"/>
  <c r="U8" i="4"/>
  <c r="A1" i="4"/>
  <c r="C33" i="3"/>
  <c r="AA28" i="3"/>
  <c r="AS20" i="3"/>
  <c r="AG20" i="3"/>
  <c r="AA20" i="3"/>
  <c r="Z20" i="3"/>
  <c r="AS19" i="3"/>
  <c r="AR19" i="3"/>
  <c r="AQ19" i="3"/>
  <c r="AP19" i="3"/>
  <c r="AO19" i="3"/>
  <c r="AN19" i="3"/>
  <c r="AN20" i="3" s="1"/>
  <c r="AM19" i="3"/>
  <c r="AL19" i="3"/>
  <c r="AL20" i="3" s="1"/>
  <c r="AK19" i="3"/>
  <c r="AJ19" i="3"/>
  <c r="AI19" i="3"/>
  <c r="AH19" i="3"/>
  <c r="AG19" i="3"/>
  <c r="AF19" i="3"/>
  <c r="AE19" i="3"/>
  <c r="AD19" i="3"/>
  <c r="AC19" i="3"/>
  <c r="AB19" i="3"/>
  <c r="AB20" i="3" s="1"/>
  <c r="AA19" i="3"/>
  <c r="Z19" i="3"/>
  <c r="Y19" i="3"/>
  <c r="X19" i="3"/>
  <c r="W19" i="3"/>
  <c r="V19" i="3"/>
  <c r="U19" i="3"/>
  <c r="AS18" i="3"/>
  <c r="AR18" i="3"/>
  <c r="AR20" i="3" s="1"/>
  <c r="AQ18" i="3"/>
  <c r="AP18" i="3"/>
  <c r="AP20" i="3" s="1"/>
  <c r="AO18" i="3"/>
  <c r="AO20" i="3" s="1"/>
  <c r="AN18" i="3"/>
  <c r="AM18" i="3"/>
  <c r="AM20" i="3" s="1"/>
  <c r="AL18" i="3"/>
  <c r="AK18" i="3"/>
  <c r="AJ18" i="3"/>
  <c r="AJ20" i="3" s="1"/>
  <c r="AI18" i="3"/>
  <c r="AH18" i="3"/>
  <c r="AG18" i="3"/>
  <c r="AF18" i="3"/>
  <c r="AF20" i="3" s="1"/>
  <c r="AE18" i="3"/>
  <c r="AD18" i="3"/>
  <c r="AD20" i="3" s="1"/>
  <c r="AC18" i="3"/>
  <c r="AC20" i="3" s="1"/>
  <c r="AB18" i="3"/>
  <c r="AA18" i="3"/>
  <c r="Z18" i="3"/>
  <c r="Y18" i="3"/>
  <c r="X18" i="3"/>
  <c r="X20" i="3" s="1"/>
  <c r="W18" i="3"/>
  <c r="V18" i="3"/>
  <c r="U18" i="3"/>
  <c r="U20" i="3" s="1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AP15" i="3"/>
  <c r="AE15" i="3"/>
  <c r="AD15" i="3"/>
  <c r="AS14" i="3"/>
  <c r="AR14" i="3"/>
  <c r="AR15" i="3" s="1"/>
  <c r="AQ14" i="3"/>
  <c r="AP14" i="3"/>
  <c r="AO14" i="3"/>
  <c r="AN14" i="3"/>
  <c r="AM14" i="3"/>
  <c r="AL14" i="3"/>
  <c r="AK14" i="3"/>
  <c r="AK15" i="3" s="1"/>
  <c r="AJ14" i="3"/>
  <c r="AI14" i="3"/>
  <c r="AI15" i="3" s="1"/>
  <c r="AH14" i="3"/>
  <c r="AG14" i="3"/>
  <c r="AF14" i="3"/>
  <c r="AF15" i="3" s="1"/>
  <c r="AE14" i="3"/>
  <c r="AD14" i="3"/>
  <c r="AC14" i="3"/>
  <c r="AB14" i="3"/>
  <c r="AA14" i="3"/>
  <c r="Z14" i="3"/>
  <c r="Y14" i="3"/>
  <c r="X14" i="3"/>
  <c r="W14" i="3"/>
  <c r="W15" i="3" s="1"/>
  <c r="V14" i="3"/>
  <c r="U14" i="3"/>
  <c r="AS13" i="3"/>
  <c r="AS15" i="3" s="1"/>
  <c r="AR13" i="3"/>
  <c r="AQ13" i="3"/>
  <c r="AQ15" i="3" s="1"/>
  <c r="AQ22" i="3" s="1"/>
  <c r="AQ23" i="3" s="1"/>
  <c r="AP13" i="3"/>
  <c r="AO13" i="3"/>
  <c r="AN13" i="3"/>
  <c r="AN15" i="3" s="1"/>
  <c r="AM13" i="3"/>
  <c r="AM15" i="3" s="1"/>
  <c r="AL13" i="3"/>
  <c r="AL15" i="3" s="1"/>
  <c r="AK13" i="3"/>
  <c r="AJ13" i="3"/>
  <c r="AJ15" i="3" s="1"/>
  <c r="AI13" i="3"/>
  <c r="AH13" i="3"/>
  <c r="AH15" i="3" s="1"/>
  <c r="AG13" i="3"/>
  <c r="AG15" i="3" s="1"/>
  <c r="AF13" i="3"/>
  <c r="AE13" i="3"/>
  <c r="AD13" i="3"/>
  <c r="AC13" i="3"/>
  <c r="AB13" i="3"/>
  <c r="AB15" i="3" s="1"/>
  <c r="AA13" i="3"/>
  <c r="AA15" i="3" s="1"/>
  <c r="Z13" i="3"/>
  <c r="Z15" i="3" s="1"/>
  <c r="Y13" i="3"/>
  <c r="Y15" i="3" s="1"/>
  <c r="X13" i="3"/>
  <c r="X15" i="3" s="1"/>
  <c r="W13" i="3"/>
  <c r="V13" i="3"/>
  <c r="V15" i="3" s="1"/>
  <c r="U13" i="3"/>
  <c r="U15" i="3" s="1"/>
  <c r="AS10" i="3"/>
  <c r="AN10" i="3"/>
  <c r="AI10" i="3"/>
  <c r="AD10" i="3"/>
  <c r="Y10" i="3"/>
  <c r="T10" i="3"/>
  <c r="O10" i="3"/>
  <c r="J10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AS8" i="3"/>
  <c r="AR8" i="3"/>
  <c r="AQ8" i="3"/>
  <c r="AQ28" i="3" s="1"/>
  <c r="AP8" i="3"/>
  <c r="AP28" i="3" s="1"/>
  <c r="AO8" i="3"/>
  <c r="AN8" i="3"/>
  <c r="AN28" i="3" s="1"/>
  <c r="AM8" i="3"/>
  <c r="AM28" i="3" s="1"/>
  <c r="AL8" i="3"/>
  <c r="AL28" i="3" s="1"/>
  <c r="AK8" i="3"/>
  <c r="AK28" i="3" s="1"/>
  <c r="AJ8" i="3"/>
  <c r="AI8" i="3"/>
  <c r="AH8" i="3"/>
  <c r="AG8" i="3"/>
  <c r="AF8" i="3"/>
  <c r="AE8" i="3"/>
  <c r="AE28" i="3" s="1"/>
  <c r="AD8" i="3"/>
  <c r="AD28" i="3" s="1"/>
  <c r="AC8" i="3"/>
  <c r="AB8" i="3"/>
  <c r="AB28" i="3" s="1"/>
  <c r="AA8" i="3"/>
  <c r="Z8" i="3"/>
  <c r="Z28" i="3" s="1"/>
  <c r="Y8" i="3"/>
  <c r="Y28" i="3" s="1"/>
  <c r="X8" i="3"/>
  <c r="W8" i="3"/>
  <c r="V8" i="3"/>
  <c r="U8" i="3"/>
  <c r="A1" i="3"/>
  <c r="G100" i="2"/>
  <c r="F100" i="2"/>
  <c r="E100" i="2"/>
  <c r="D100" i="2"/>
  <c r="C70" i="2"/>
  <c r="D67" i="2"/>
  <c r="C67" i="2"/>
  <c r="D60" i="2"/>
  <c r="C31" i="4" s="1"/>
  <c r="D53" i="2"/>
  <c r="C49" i="2"/>
  <c r="C48" i="2"/>
  <c r="C46" i="2"/>
  <c r="C45" i="2"/>
  <c r="C44" i="2"/>
  <c r="C43" i="2"/>
  <c r="C42" i="2"/>
  <c r="C41" i="2"/>
  <c r="C40" i="2"/>
  <c r="C39" i="2"/>
  <c r="C37" i="2"/>
  <c r="E36" i="2"/>
  <c r="C36" i="2"/>
  <c r="C35" i="2"/>
  <c r="C34" i="2"/>
  <c r="C33" i="2"/>
  <c r="C32" i="2"/>
  <c r="C31" i="2"/>
  <c r="E30" i="2"/>
  <c r="C30" i="2"/>
  <c r="C29" i="2"/>
  <c r="C27" i="2"/>
  <c r="K26" i="2"/>
  <c r="K25" i="2"/>
  <c r="C25" i="2"/>
  <c r="C24" i="2"/>
  <c r="D22" i="2"/>
  <c r="D46" i="2" s="1"/>
  <c r="K21" i="2"/>
  <c r="K20" i="2"/>
  <c r="E20" i="2"/>
  <c r="D19" i="2"/>
  <c r="L17" i="2"/>
  <c r="E15" i="2"/>
  <c r="L12" i="2"/>
  <c r="D12" i="2"/>
  <c r="D16" i="2" s="1"/>
  <c r="L11" i="2"/>
  <c r="E11" i="2"/>
  <c r="D8" i="2"/>
  <c r="K14" i="2" s="1"/>
  <c r="D25" i="2" s="1"/>
  <c r="A2" i="2"/>
  <c r="A1" i="2"/>
  <c r="Y20" i="3" l="1"/>
  <c r="AK20" i="3"/>
  <c r="Z15" i="4"/>
  <c r="AL15" i="4"/>
  <c r="AF20" i="4"/>
  <c r="AR20" i="4"/>
  <c r="AD22" i="3"/>
  <c r="AD23" i="3" s="1"/>
  <c r="K12" i="2"/>
  <c r="AE22" i="3"/>
  <c r="AE23" i="3" s="1"/>
  <c r="AP22" i="3"/>
  <c r="AP23" i="3" s="1"/>
  <c r="AP25" i="3" s="1"/>
  <c r="AE20" i="3"/>
  <c r="AE25" i="3" s="1"/>
  <c r="AQ20" i="3"/>
  <c r="AF15" i="4"/>
  <c r="AR15" i="4"/>
  <c r="Y20" i="4"/>
  <c r="AK20" i="4"/>
  <c r="AC15" i="3"/>
  <c r="AC22" i="3" s="1"/>
  <c r="AC23" i="3" s="1"/>
  <c r="AC25" i="3" s="1"/>
  <c r="AO15" i="3"/>
  <c r="V20" i="3"/>
  <c r="AH20" i="3"/>
  <c r="W20" i="3"/>
  <c r="AI20" i="3"/>
  <c r="X15" i="4"/>
  <c r="AJ15" i="4"/>
  <c r="AC20" i="4"/>
  <c r="AO20" i="4"/>
  <c r="U22" i="3"/>
  <c r="U23" i="3" s="1"/>
  <c r="U25" i="3"/>
  <c r="AG22" i="3"/>
  <c r="AG23" i="3" s="1"/>
  <c r="AG25" i="3" s="1"/>
  <c r="AL22" i="4"/>
  <c r="AL23" i="4" s="1"/>
  <c r="AL25" i="4"/>
  <c r="AB22" i="4"/>
  <c r="AB23" i="4" s="1"/>
  <c r="AB25" i="4" s="1"/>
  <c r="AN22" i="4"/>
  <c r="AN23" i="4" s="1"/>
  <c r="AN25" i="4"/>
  <c r="AR22" i="3"/>
  <c r="AR23" i="3" s="1"/>
  <c r="AR25" i="3" s="1"/>
  <c r="AH22" i="3"/>
  <c r="AH23" i="3" s="1"/>
  <c r="X22" i="3"/>
  <c r="X23" i="3" s="1"/>
  <c r="X25" i="3" s="1"/>
  <c r="AJ22" i="3"/>
  <c r="AJ23" i="3" s="1"/>
  <c r="AJ25" i="3" s="1"/>
  <c r="W22" i="3"/>
  <c r="W23" i="3" s="1"/>
  <c r="AI22" i="3"/>
  <c r="AI23" i="3" s="1"/>
  <c r="AD22" i="4"/>
  <c r="AD23" i="4" s="1"/>
  <c r="AD25" i="4" s="1"/>
  <c r="AP22" i="4"/>
  <c r="AP23" i="4" s="1"/>
  <c r="AP25" i="4"/>
  <c r="AC22" i="4"/>
  <c r="AC23" i="4" s="1"/>
  <c r="AC25" i="4" s="1"/>
  <c r="AO22" i="4"/>
  <c r="AO23" i="4" s="1"/>
  <c r="AO25" i="4"/>
  <c r="AS22" i="3"/>
  <c r="AS23" i="3" s="1"/>
  <c r="AS25" i="3" s="1"/>
  <c r="V22" i="3"/>
  <c r="V23" i="3" s="1"/>
  <c r="V25" i="3" s="1"/>
  <c r="D40" i="2"/>
  <c r="AR11" i="3" s="1"/>
  <c r="D27" i="2"/>
  <c r="D28" i="2" s="1"/>
  <c r="AI11" i="4" s="1"/>
  <c r="AM22" i="3"/>
  <c r="AM23" i="3" s="1"/>
  <c r="AM25" i="3" s="1"/>
  <c r="AE22" i="4"/>
  <c r="AE23" i="4" s="1"/>
  <c r="AE25" i="4" s="1"/>
  <c r="AB22" i="3"/>
  <c r="AB23" i="3" s="1"/>
  <c r="AB25" i="3" s="1"/>
  <c r="AN22" i="3"/>
  <c r="AN23" i="3" s="1"/>
  <c r="AN25" i="3" s="1"/>
  <c r="AF22" i="3"/>
  <c r="AF23" i="3" s="1"/>
  <c r="AF25" i="3" s="1"/>
  <c r="AA22" i="3"/>
  <c r="AA23" i="3" s="1"/>
  <c r="AA25" i="3" s="1"/>
  <c r="C34" i="3"/>
  <c r="D54" i="2" s="1"/>
  <c r="U22" i="4"/>
  <c r="U23" i="4" s="1"/>
  <c r="U25" i="4" s="1"/>
  <c r="AG22" i="4"/>
  <c r="AG23" i="4" s="1"/>
  <c r="AG25" i="4" s="1"/>
  <c r="AS22" i="4"/>
  <c r="AS23" i="4" s="1"/>
  <c r="AS25" i="4" s="1"/>
  <c r="AF22" i="4"/>
  <c r="AF23" i="4" s="1"/>
  <c r="AF25" i="4" s="1"/>
  <c r="AR22" i="4"/>
  <c r="AR23" i="4" s="1"/>
  <c r="AR25" i="4" s="1"/>
  <c r="Z22" i="4"/>
  <c r="Z23" i="4" s="1"/>
  <c r="Z25" i="4" s="1"/>
  <c r="Z22" i="3"/>
  <c r="Z23" i="3" s="1"/>
  <c r="Z25" i="3"/>
  <c r="AQ22" i="4"/>
  <c r="AQ23" i="4" s="1"/>
  <c r="AQ25" i="4" s="1"/>
  <c r="AO22" i="3"/>
  <c r="AO23" i="3" s="1"/>
  <c r="AO25" i="3" s="1"/>
  <c r="Y22" i="4"/>
  <c r="Y23" i="4" s="1"/>
  <c r="Y25" i="4"/>
  <c r="W22" i="4"/>
  <c r="W23" i="4" s="1"/>
  <c r="W25" i="4" s="1"/>
  <c r="AI22" i="4"/>
  <c r="AI23" i="4" s="1"/>
  <c r="AI25" i="4" s="1"/>
  <c r="AK22" i="4"/>
  <c r="AK23" i="4" s="1"/>
  <c r="AK25" i="4" s="1"/>
  <c r="AL22" i="3"/>
  <c r="AL23" i="3" s="1"/>
  <c r="AL25" i="3"/>
  <c r="AJ22" i="4"/>
  <c r="AJ23" i="4" s="1"/>
  <c r="AJ25" i="4" s="1"/>
  <c r="AF28" i="3"/>
  <c r="AR28" i="3"/>
  <c r="AC28" i="4"/>
  <c r="AO28" i="4"/>
  <c r="U28" i="3"/>
  <c r="AG28" i="3"/>
  <c r="AS28" i="3"/>
  <c r="AD28" i="4"/>
  <c r="AP28" i="4"/>
  <c r="V28" i="3"/>
  <c r="AH28" i="3"/>
  <c r="AE28" i="4"/>
  <c r="AQ28" i="4"/>
  <c r="Y22" i="3"/>
  <c r="Y23" i="3" s="1"/>
  <c r="Y25" i="3" s="1"/>
  <c r="AK22" i="3"/>
  <c r="AK23" i="3" s="1"/>
  <c r="AK25" i="3" s="1"/>
  <c r="W28" i="3"/>
  <c r="AI28" i="3"/>
  <c r="C31" i="3"/>
  <c r="C34" i="4" s="1"/>
  <c r="V22" i="4"/>
  <c r="V23" i="4" s="1"/>
  <c r="V25" i="4" s="1"/>
  <c r="AH22" i="4"/>
  <c r="AH23" i="4" s="1"/>
  <c r="AH25" i="4" s="1"/>
  <c r="AF28" i="4"/>
  <c r="AR28" i="4"/>
  <c r="D37" i="2"/>
  <c r="AD25" i="3"/>
  <c r="X28" i="3"/>
  <c r="AJ28" i="3"/>
  <c r="AA25" i="4"/>
  <c r="AM25" i="4"/>
  <c r="U28" i="4"/>
  <c r="AG28" i="4"/>
  <c r="AS28" i="4"/>
  <c r="AQ25" i="3"/>
  <c r="W28" i="4"/>
  <c r="AI28" i="4"/>
  <c r="X28" i="4"/>
  <c r="AJ28" i="4"/>
  <c r="AC28" i="3"/>
  <c r="AO28" i="3"/>
  <c r="Z28" i="4"/>
  <c r="AL28" i="4"/>
  <c r="AI25" i="3" l="1"/>
  <c r="X22" i="4"/>
  <c r="X23" i="4" s="1"/>
  <c r="X25" i="4" s="1"/>
  <c r="W25" i="3"/>
  <c r="AH25" i="3"/>
  <c r="AM11" i="3"/>
  <c r="AD11" i="4"/>
  <c r="U11" i="3"/>
  <c r="AE11" i="4"/>
  <c r="AO11" i="3"/>
  <c r="AJ11" i="4"/>
  <c r="AH11" i="3"/>
  <c r="AC11" i="3"/>
  <c r="AG11" i="4"/>
  <c r="AO11" i="4"/>
  <c r="AI11" i="3"/>
  <c r="V11" i="3"/>
  <c r="AL11" i="4"/>
  <c r="W11" i="4"/>
  <c r="W11" i="3"/>
  <c r="Z11" i="4"/>
  <c r="R8" i="4"/>
  <c r="F8" i="4"/>
  <c r="E94" i="2"/>
  <c r="Q8" i="4"/>
  <c r="AN11" i="3"/>
  <c r="AB11" i="3"/>
  <c r="D94" i="2"/>
  <c r="Y11" i="3"/>
  <c r="P8" i="4"/>
  <c r="N8" i="4"/>
  <c r="O8" i="4"/>
  <c r="AL11" i="3"/>
  <c r="Z11" i="3"/>
  <c r="M8" i="4"/>
  <c r="G90" i="2"/>
  <c r="G93" i="2" s="1"/>
  <c r="L8" i="4"/>
  <c r="K8" i="4"/>
  <c r="F90" i="2"/>
  <c r="F93" i="2" s="1"/>
  <c r="D90" i="2"/>
  <c r="D93" i="2" s="1"/>
  <c r="D43" i="2"/>
  <c r="J8" i="4"/>
  <c r="E90" i="2"/>
  <c r="E93" i="2" s="1"/>
  <c r="AK11" i="3"/>
  <c r="I8" i="4"/>
  <c r="F94" i="2"/>
  <c r="T8" i="4"/>
  <c r="H8" i="4"/>
  <c r="AQ11" i="3"/>
  <c r="AE11" i="3"/>
  <c r="G94" i="2"/>
  <c r="S8" i="4"/>
  <c r="G8" i="4"/>
  <c r="AP11" i="3"/>
  <c r="AD11" i="3"/>
  <c r="U11" i="4"/>
  <c r="AG11" i="3"/>
  <c r="X11" i="4"/>
  <c r="AJ11" i="3"/>
  <c r="AR11" i="4"/>
  <c r="AC11" i="4"/>
  <c r="AK11" i="4"/>
  <c r="Y11" i="4"/>
  <c r="T8" i="3"/>
  <c r="H8" i="3"/>
  <c r="D34" i="2"/>
  <c r="S8" i="3"/>
  <c r="G8" i="3"/>
  <c r="AH11" i="4"/>
  <c r="R8" i="3"/>
  <c r="F8" i="3"/>
  <c r="V11" i="4"/>
  <c r="P8" i="3"/>
  <c r="O8" i="3"/>
  <c r="N8" i="3"/>
  <c r="J8" i="3"/>
  <c r="I8" i="3"/>
  <c r="M8" i="3"/>
  <c r="K8" i="3"/>
  <c r="Q8" i="3"/>
  <c r="L8" i="3"/>
  <c r="AN11" i="4"/>
  <c r="AB11" i="4"/>
  <c r="AM11" i="4"/>
  <c r="AA11" i="4"/>
  <c r="X11" i="3"/>
  <c r="AF11" i="4"/>
  <c r="AS11" i="3"/>
  <c r="AP11" i="4"/>
  <c r="AS11" i="4"/>
  <c r="AA11" i="3"/>
  <c r="AF11" i="3"/>
  <c r="AQ11" i="4"/>
  <c r="S11" i="4" l="1"/>
  <c r="S13" i="4" s="1"/>
  <c r="S28" i="4"/>
  <c r="K11" i="4"/>
  <c r="K13" i="4" s="1"/>
  <c r="K28" i="4"/>
  <c r="G11" i="4"/>
  <c r="G13" i="4" s="1"/>
  <c r="G28" i="4"/>
  <c r="T11" i="3"/>
  <c r="T13" i="3" s="1"/>
  <c r="T28" i="3"/>
  <c r="L11" i="4"/>
  <c r="L13" i="4" s="1"/>
  <c r="L28" i="4"/>
  <c r="Q11" i="4"/>
  <c r="Q13" i="4" s="1"/>
  <c r="Q28" i="4"/>
  <c r="G80" i="2"/>
  <c r="G84" i="2" s="1"/>
  <c r="F80" i="2"/>
  <c r="F84" i="2" s="1"/>
  <c r="E80" i="2"/>
  <c r="E84" i="2" s="1"/>
  <c r="D80" i="2"/>
  <c r="D84" i="2" s="1"/>
  <c r="D45" i="2"/>
  <c r="R11" i="4"/>
  <c r="R13" i="4" s="1"/>
  <c r="R28" i="4"/>
  <c r="O11" i="3"/>
  <c r="O13" i="3" s="1"/>
  <c r="O28" i="3"/>
  <c r="P11" i="3"/>
  <c r="P13" i="3" s="1"/>
  <c r="P28" i="3"/>
  <c r="F28" i="3"/>
  <c r="F11" i="3"/>
  <c r="F13" i="3" s="1"/>
  <c r="T11" i="4"/>
  <c r="T13" i="4" s="1"/>
  <c r="T28" i="4"/>
  <c r="M11" i="4"/>
  <c r="M13" i="4" s="1"/>
  <c r="M28" i="4"/>
  <c r="F11" i="4"/>
  <c r="F13" i="4" s="1"/>
  <c r="F28" i="4"/>
  <c r="I11" i="4"/>
  <c r="I13" i="4" s="1"/>
  <c r="I28" i="4"/>
  <c r="H11" i="3"/>
  <c r="H13" i="3" s="1"/>
  <c r="H28" i="3"/>
  <c r="H11" i="4"/>
  <c r="H13" i="4" s="1"/>
  <c r="H28" i="4"/>
  <c r="L11" i="3"/>
  <c r="L13" i="3" s="1"/>
  <c r="L28" i="3"/>
  <c r="G28" i="3"/>
  <c r="G11" i="3"/>
  <c r="G13" i="3" s="1"/>
  <c r="O28" i="4"/>
  <c r="O11" i="4"/>
  <c r="O13" i="4" s="1"/>
  <c r="J11" i="3"/>
  <c r="J13" i="3" s="1"/>
  <c r="J28" i="3"/>
  <c r="Q11" i="3"/>
  <c r="Q13" i="3" s="1"/>
  <c r="Q28" i="3"/>
  <c r="K11" i="3"/>
  <c r="K13" i="3" s="1"/>
  <c r="K28" i="3"/>
  <c r="S28" i="3"/>
  <c r="S11" i="3"/>
  <c r="S13" i="3" s="1"/>
  <c r="N11" i="4"/>
  <c r="N13" i="4" s="1"/>
  <c r="N28" i="4"/>
  <c r="I11" i="3"/>
  <c r="I13" i="3" s="1"/>
  <c r="I28" i="3"/>
  <c r="N11" i="3"/>
  <c r="N13" i="3" s="1"/>
  <c r="N28" i="3"/>
  <c r="R28" i="3"/>
  <c r="R11" i="3"/>
  <c r="R13" i="3" s="1"/>
  <c r="M11" i="3"/>
  <c r="M13" i="3" s="1"/>
  <c r="M28" i="3"/>
  <c r="D36" i="2"/>
  <c r="C30" i="4"/>
  <c r="C30" i="3"/>
  <c r="J11" i="4"/>
  <c r="J13" i="4" s="1"/>
  <c r="J28" i="4"/>
  <c r="P28" i="4"/>
  <c r="P11" i="4"/>
  <c r="P13" i="4" s="1"/>
  <c r="D86" i="2" l="1"/>
  <c r="G86" i="2"/>
  <c r="F86" i="2"/>
  <c r="E86" i="2"/>
  <c r="N15" i="4"/>
  <c r="D28" i="4"/>
  <c r="M17" i="3"/>
  <c r="L17" i="3"/>
  <c r="K17" i="3"/>
  <c r="C36" i="3"/>
  <c r="J17" i="3"/>
  <c r="C35" i="3"/>
  <c r="T17" i="3"/>
  <c r="H17" i="3"/>
  <c r="S17" i="3"/>
  <c r="G17" i="3"/>
  <c r="C32" i="3"/>
  <c r="R17" i="3"/>
  <c r="F17" i="3"/>
  <c r="Q17" i="3"/>
  <c r="P17" i="3"/>
  <c r="O17" i="3"/>
  <c r="E5" i="3"/>
  <c r="N17" i="3"/>
  <c r="I17" i="3"/>
  <c r="C36" i="4"/>
  <c r="J17" i="4"/>
  <c r="C35" i="4"/>
  <c r="I17" i="4"/>
  <c r="E5" i="4"/>
  <c r="T17" i="4"/>
  <c r="H17" i="4"/>
  <c r="S17" i="4"/>
  <c r="G17" i="4"/>
  <c r="C32" i="4"/>
  <c r="R17" i="4"/>
  <c r="F17" i="4"/>
  <c r="Q17" i="4"/>
  <c r="P17" i="4"/>
  <c r="O17" i="4"/>
  <c r="N17" i="4"/>
  <c r="M17" i="4"/>
  <c r="L17" i="4"/>
  <c r="K17" i="4"/>
  <c r="D28" i="3"/>
  <c r="N9" i="4"/>
  <c r="N14" i="4" s="1"/>
  <c r="M9" i="4"/>
  <c r="M14" i="4" s="1"/>
  <c r="M15" i="4" s="1"/>
  <c r="P9" i="3"/>
  <c r="P14" i="3" s="1"/>
  <c r="P15" i="3" s="1"/>
  <c r="L9" i="4"/>
  <c r="L14" i="4" s="1"/>
  <c r="L15" i="4" s="1"/>
  <c r="O9" i="3"/>
  <c r="O14" i="3" s="1"/>
  <c r="O15" i="3" s="1"/>
  <c r="K9" i="4"/>
  <c r="K14" i="4" s="1"/>
  <c r="K15" i="4" s="1"/>
  <c r="N9" i="3"/>
  <c r="N14" i="3" s="1"/>
  <c r="N15" i="3" s="1"/>
  <c r="J9" i="4"/>
  <c r="J14" i="4" s="1"/>
  <c r="J15" i="4" s="1"/>
  <c r="I9" i="4"/>
  <c r="I14" i="4" s="1"/>
  <c r="I15" i="4" s="1"/>
  <c r="L9" i="3"/>
  <c r="L14" i="3" s="1"/>
  <c r="L15" i="3" s="1"/>
  <c r="K9" i="3"/>
  <c r="K14" i="3" s="1"/>
  <c r="K15" i="3" s="1"/>
  <c r="F9" i="3"/>
  <c r="F14" i="3" s="1"/>
  <c r="F15" i="3" s="1"/>
  <c r="T9" i="4"/>
  <c r="T14" i="4" s="1"/>
  <c r="T15" i="4" s="1"/>
  <c r="H9" i="4"/>
  <c r="H14" i="4" s="1"/>
  <c r="H15" i="4" s="1"/>
  <c r="S9" i="4"/>
  <c r="S14" i="4" s="1"/>
  <c r="G9" i="4"/>
  <c r="G14" i="4" s="1"/>
  <c r="G15" i="4" s="1"/>
  <c r="J9" i="3"/>
  <c r="J14" i="3" s="1"/>
  <c r="J15" i="3" s="1"/>
  <c r="R9" i="4"/>
  <c r="R14" i="4" s="1"/>
  <c r="R15" i="4" s="1"/>
  <c r="F9" i="4"/>
  <c r="F14" i="4" s="1"/>
  <c r="F15" i="4" s="1"/>
  <c r="I9" i="3"/>
  <c r="I14" i="3" s="1"/>
  <c r="I15" i="3" s="1"/>
  <c r="S9" i="3"/>
  <c r="S14" i="3" s="1"/>
  <c r="S15" i="3" s="1"/>
  <c r="Q9" i="3"/>
  <c r="Q14" i="3" s="1"/>
  <c r="Q15" i="3" s="1"/>
  <c r="Q9" i="4"/>
  <c r="Q14" i="4" s="1"/>
  <c r="Q15" i="4" s="1"/>
  <c r="T9" i="3"/>
  <c r="T14" i="3" s="1"/>
  <c r="T15" i="3" s="1"/>
  <c r="H9" i="3"/>
  <c r="H14" i="3" s="1"/>
  <c r="H15" i="3" s="1"/>
  <c r="M9" i="3"/>
  <c r="M14" i="3" s="1"/>
  <c r="M15" i="3" s="1"/>
  <c r="P9" i="4"/>
  <c r="P14" i="4" s="1"/>
  <c r="P15" i="4" s="1"/>
  <c r="G9" i="3"/>
  <c r="G14" i="3" s="1"/>
  <c r="G15" i="3" s="1"/>
  <c r="O9" i="4"/>
  <c r="O14" i="4" s="1"/>
  <c r="O15" i="4" s="1"/>
  <c r="R9" i="3"/>
  <c r="R14" i="3" s="1"/>
  <c r="R15" i="3" s="1"/>
  <c r="S15" i="4"/>
  <c r="N19" i="4" l="1"/>
  <c r="M19" i="4"/>
  <c r="L19" i="4"/>
  <c r="K19" i="4"/>
  <c r="J19" i="4"/>
  <c r="I19" i="4"/>
  <c r="T19" i="4"/>
  <c r="H19" i="4"/>
  <c r="S19" i="4"/>
  <c r="G19" i="4"/>
  <c r="R19" i="4"/>
  <c r="F19" i="4"/>
  <c r="Q19" i="4"/>
  <c r="P19" i="4"/>
  <c r="O19" i="4"/>
  <c r="R18" i="4"/>
  <c r="F18" i="4"/>
  <c r="Q19" i="3"/>
  <c r="I18" i="3"/>
  <c r="Q18" i="4"/>
  <c r="Q20" i="4" s="1"/>
  <c r="P19" i="3"/>
  <c r="T18" i="3"/>
  <c r="H18" i="3"/>
  <c r="P18" i="4"/>
  <c r="P20" i="4" s="1"/>
  <c r="O19" i="3"/>
  <c r="S18" i="3"/>
  <c r="S22" i="3" s="1"/>
  <c r="S23" i="3" s="1"/>
  <c r="G18" i="3"/>
  <c r="M19" i="3"/>
  <c r="O18" i="4"/>
  <c r="O20" i="4" s="1"/>
  <c r="N19" i="3"/>
  <c r="R18" i="3"/>
  <c r="F18" i="3"/>
  <c r="N18" i="4"/>
  <c r="N20" i="4" s="1"/>
  <c r="M18" i="4"/>
  <c r="M20" i="4" s="1"/>
  <c r="L19" i="3"/>
  <c r="P18" i="3"/>
  <c r="P20" i="3" s="1"/>
  <c r="L18" i="4"/>
  <c r="L20" i="4" s="1"/>
  <c r="K19" i="3"/>
  <c r="O18" i="3"/>
  <c r="O20" i="3" s="1"/>
  <c r="Q18" i="3"/>
  <c r="Q20" i="3" s="1"/>
  <c r="K18" i="4"/>
  <c r="K20" i="4" s="1"/>
  <c r="J19" i="3"/>
  <c r="N18" i="3"/>
  <c r="N20" i="3" s="1"/>
  <c r="J18" i="4"/>
  <c r="J20" i="4" s="1"/>
  <c r="I19" i="3"/>
  <c r="M18" i="3"/>
  <c r="M20" i="3" s="1"/>
  <c r="I18" i="4"/>
  <c r="I20" i="4" s="1"/>
  <c r="T19" i="3"/>
  <c r="H19" i="3"/>
  <c r="L18" i="3"/>
  <c r="L22" i="3" s="1"/>
  <c r="L23" i="3" s="1"/>
  <c r="T18" i="4"/>
  <c r="H18" i="4"/>
  <c r="H20" i="4" s="1"/>
  <c r="S19" i="3"/>
  <c r="G19" i="3"/>
  <c r="K18" i="3"/>
  <c r="K20" i="3" s="1"/>
  <c r="S18" i="4"/>
  <c r="G18" i="4"/>
  <c r="G20" i="4" s="1"/>
  <c r="R19" i="3"/>
  <c r="F19" i="3"/>
  <c r="J18" i="3"/>
  <c r="J20" i="3" s="1"/>
  <c r="L22" i="4"/>
  <c r="L23" i="4" s="1"/>
  <c r="L25" i="4" s="1"/>
  <c r="Q22" i="3"/>
  <c r="Q23" i="3" s="1"/>
  <c r="Q25" i="3"/>
  <c r="T22" i="4"/>
  <c r="T23" i="4" s="1"/>
  <c r="H20" i="3" l="1"/>
  <c r="I20" i="3"/>
  <c r="F20" i="4"/>
  <c r="R20" i="4"/>
  <c r="T20" i="4"/>
  <c r="G20" i="3"/>
  <c r="G25" i="3" s="1"/>
  <c r="T25" i="4"/>
  <c r="S20" i="4"/>
  <c r="S25" i="4" s="1"/>
  <c r="F25" i="4"/>
  <c r="R25" i="4"/>
  <c r="J25" i="4"/>
  <c r="K22" i="3"/>
  <c r="K23" i="3" s="1"/>
  <c r="K25" i="3" s="1"/>
  <c r="J22" i="3"/>
  <c r="J23" i="3" s="1"/>
  <c r="J25" i="3" s="1"/>
  <c r="T20" i="3"/>
  <c r="N22" i="4"/>
  <c r="N23" i="4" s="1"/>
  <c r="N25" i="4" s="1"/>
  <c r="G22" i="3"/>
  <c r="G23" i="3" s="1"/>
  <c r="P22" i="4"/>
  <c r="P23" i="4" s="1"/>
  <c r="P25" i="4" s="1"/>
  <c r="F20" i="3"/>
  <c r="M22" i="4"/>
  <c r="M23" i="4" s="1"/>
  <c r="M25" i="4" s="1"/>
  <c r="F22" i="3"/>
  <c r="F23" i="3" s="1"/>
  <c r="K22" i="4"/>
  <c r="K23" i="4" s="1"/>
  <c r="K25" i="4" s="1"/>
  <c r="N22" i="3"/>
  <c r="N23" i="3" s="1"/>
  <c r="N25" i="3" s="1"/>
  <c r="I22" i="4"/>
  <c r="I23" i="4" s="1"/>
  <c r="I25" i="4" s="1"/>
  <c r="O22" i="4"/>
  <c r="O23" i="4" s="1"/>
  <c r="O25" i="4" s="1"/>
  <c r="R20" i="3"/>
  <c r="T22" i="3"/>
  <c r="T23" i="3" s="1"/>
  <c r="F22" i="4"/>
  <c r="F23" i="4" s="1"/>
  <c r="H22" i="3"/>
  <c r="H23" i="3" s="1"/>
  <c r="H25" i="3" s="1"/>
  <c r="R22" i="4"/>
  <c r="R23" i="4" s="1"/>
  <c r="S22" i="4"/>
  <c r="S23" i="4" s="1"/>
  <c r="J22" i="4"/>
  <c r="J23" i="4" s="1"/>
  <c r="M22" i="3"/>
  <c r="M23" i="3" s="1"/>
  <c r="M25" i="3" s="1"/>
  <c r="L20" i="3"/>
  <c r="L25" i="3" s="1"/>
  <c r="S20" i="3"/>
  <c r="S25" i="3" s="1"/>
  <c r="Q22" i="4"/>
  <c r="Q23" i="4" s="1"/>
  <c r="Q25" i="4" s="1"/>
  <c r="R22" i="3"/>
  <c r="R23" i="3" s="1"/>
  <c r="H22" i="4"/>
  <c r="H23" i="4" s="1"/>
  <c r="H25" i="4" s="1"/>
  <c r="G22" i="4"/>
  <c r="G23" i="4" s="1"/>
  <c r="G25" i="4" s="1"/>
  <c r="O22" i="3"/>
  <c r="O23" i="3" s="1"/>
  <c r="O25" i="3" s="1"/>
  <c r="I22" i="3"/>
  <c r="I23" i="3" s="1"/>
  <c r="I25" i="3" s="1"/>
  <c r="P22" i="3"/>
  <c r="P23" i="3" s="1"/>
  <c r="P25" i="3" s="1"/>
  <c r="D27" i="4" l="1"/>
  <c r="D70" i="2" s="1"/>
  <c r="F25" i="3"/>
  <c r="R25" i="3"/>
  <c r="T25" i="3"/>
  <c r="D2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4" authorId="0" shapeId="0" xr:uid="{00000000-0006-0000-0100-000001000000}">
      <text>
        <r>
          <rPr>
            <sz val="10"/>
            <rFont val="Arial"/>
            <family val="2"/>
          </rPr>
          <t>JanDiederik van Wees:
just make 1 pump</t>
        </r>
      </text>
    </comment>
    <comment ref="D15" authorId="0" shapeId="0" xr:uid="{00000000-0006-0000-0100-000002000000}">
      <text>
        <r>
          <rPr>
            <sz val="10"/>
            <rFont val="Arial"/>
            <family val="2"/>
          </rPr>
          <t xml:space="preserve">JanDiederik van Wees:
change name to nrwells not pumps!
</t>
        </r>
      </text>
    </comment>
    <comment ref="F20" authorId="0" shapeId="0" xr:uid="{00000000-0006-0000-0100-000003000000}">
      <text>
        <r>
          <rPr>
            <sz val="10"/>
            <rFont val="Arial"/>
            <family val="2"/>
          </rPr>
          <t xml:space="preserve">JanDiederik van Wees:
explain that for Mwe/Mwe this would much lower
</t>
        </r>
      </text>
    </comment>
  </commentList>
</comments>
</file>

<file path=xl/sharedStrings.xml><?xml version="1.0" encoding="utf-8"?>
<sst xmlns="http://schemas.openxmlformats.org/spreadsheetml/2006/main" count="405" uniqueCount="286">
  <si>
    <t>Calculation of LCOE of renewable heat and electricity</t>
  </si>
  <si>
    <t>Geothermal electricity and heat</t>
  </si>
  <si>
    <t>authors</t>
  </si>
  <si>
    <t>Jan-Diederik van Wees, Lars ten Kulve, Derk Straathof, Maarten Pluymaekers</t>
  </si>
  <si>
    <t>date</t>
  </si>
  <si>
    <t>10-07-2011</t>
  </si>
  <si>
    <t>sources</t>
  </si>
  <si>
    <t>Cash flow methodology is largely based on dutch economic models and spreadsheets developed by Energie Centrum Nederland (ECN, www.ecn.nl)</t>
  </si>
  <si>
    <t>version</t>
  </si>
  <si>
    <t>Contact</t>
  </si>
  <si>
    <t>Contact jan-diederik van Wees. Jan_diederik.vanwees@tno.nl, +31651338919</t>
  </si>
  <si>
    <t>color coding</t>
  </si>
  <si>
    <t>do not enter value (calculated by other cells)</t>
  </si>
  <si>
    <t>enter value</t>
  </si>
  <si>
    <t>field in relevant in the calculation</t>
  </si>
  <si>
    <t>Geothermal Energy</t>
  </si>
  <si>
    <t>Operational choice</t>
  </si>
  <si>
    <t>heat</t>
  </si>
  <si>
    <t>rock and fluid properties</t>
  </si>
  <si>
    <t>parameter</t>
  </si>
  <si>
    <t>Value</t>
  </si>
  <si>
    <t>Unit</t>
  </si>
  <si>
    <t>INPUTVARIABLES</t>
  </si>
  <si>
    <t>used</t>
  </si>
  <si>
    <t>Comment</t>
  </si>
  <si>
    <t>Cpwater</t>
  </si>
  <si>
    <t>J/kg K</t>
  </si>
  <si>
    <t>Flowrate</t>
  </si>
  <si>
    <t>L/s</t>
  </si>
  <si>
    <t>total flow rate which is achieved from the subsurface (measured at surface conditions)</t>
  </si>
  <si>
    <t>𝜌water</t>
  </si>
  <si>
    <t>kg/m3</t>
  </si>
  <si>
    <t>along hole depth of a single well</t>
  </si>
  <si>
    <t>m</t>
  </si>
  <si>
    <t xml:space="preserve">along hole depth (total length) of a single borehole in the subsurface </t>
  </si>
  <si>
    <t>Surface temperature</t>
  </si>
  <si>
    <t>C</t>
  </si>
  <si>
    <t>average yearly surface temperature</t>
  </si>
  <si>
    <t>Cprock</t>
  </si>
  <si>
    <t>production temperature (Tx)</t>
  </si>
  <si>
    <t>production temperature (reservoir temperature, corrected for temperature losses)</t>
  </si>
  <si>
    <t>𝜌rock</t>
  </si>
  <si>
    <t>Economic lifetime</t>
  </si>
  <si>
    <t>Years</t>
  </si>
  <si>
    <t>lifetime for cash flow calculations</t>
  </si>
  <si>
    <t>subsurface</t>
  </si>
  <si>
    <t>power conversion</t>
  </si>
  <si>
    <t>well cost scaling factor</t>
  </si>
  <si>
    <t>scaling factor for calculating well costs</t>
  </si>
  <si>
    <t>relative efficiency</t>
  </si>
  <si>
    <t>well costs</t>
  </si>
  <si>
    <t>mln euro/Well</t>
  </si>
  <si>
    <t>calculated costs for drillling the wells</t>
  </si>
  <si>
    <t>total conversion efficiency</t>
  </si>
  <si>
    <t>Stimulation and other Cost</t>
  </si>
  <si>
    <t>additional well costs for stimulation (and other costs) of the reservoir</t>
  </si>
  <si>
    <t>offset for Tbase</t>
  </si>
  <si>
    <t>Pump investment</t>
  </si>
  <si>
    <t>Mln euro/pump</t>
  </si>
  <si>
    <t>pump investements. Workover is assumed every 5 years at installment costs</t>
  </si>
  <si>
    <t>Tbase (minimum Tx for power)</t>
  </si>
  <si>
    <t>Number of wells</t>
  </si>
  <si>
    <t>number of wells in the reservoir</t>
  </si>
  <si>
    <t>subsurface capex</t>
  </si>
  <si>
    <t>mln euro</t>
  </si>
  <si>
    <t>calculated subsurface capex for wells, stimulation and pumps</t>
  </si>
  <si>
    <t>heat (cold) conversion</t>
  </si>
  <si>
    <t>subsurface parasitic</t>
  </si>
  <si>
    <t>total efficiency</t>
  </si>
  <si>
    <t>pressure of water loop</t>
  </si>
  <si>
    <t>bar</t>
  </si>
  <si>
    <t>electricity consumption</t>
  </si>
  <si>
    <t>MWe</t>
  </si>
  <si>
    <t>units</t>
  </si>
  <si>
    <t>COP</t>
  </si>
  <si>
    <t>coefficient of performance (MWth/MWe) to drive the pumps. Ratio of thermal and electric power.</t>
  </si>
  <si>
    <t>Seconds per year</t>
  </si>
  <si>
    <t>s</t>
  </si>
  <si>
    <t>electricity price for driving the pumps</t>
  </si>
  <si>
    <t>euro /MWhe</t>
  </si>
  <si>
    <t>electricity price for the power consumed by the subsurface pumps</t>
  </si>
  <si>
    <t>seconds per 30 years</t>
  </si>
  <si>
    <t>Variable O&amp;M</t>
  </si>
  <si>
    <t>euro/MWhth</t>
  </si>
  <si>
    <t>calculated variable O&amp;M per unit of heat produced (1MWhth=3.6GJ)</t>
  </si>
  <si>
    <t>Ultimate recovery</t>
  </si>
  <si>
    <t>power temperature range used</t>
  </si>
  <si>
    <t>subsurface area</t>
  </si>
  <si>
    <t>km2</t>
  </si>
  <si>
    <t>(co) heat relative starting temperature</t>
  </si>
  <si>
    <t>%</t>
  </si>
  <si>
    <t>relative value (100%= Tx,0%=Tbase) for upper limit of temperature range for heat</t>
  </si>
  <si>
    <t>subsurface thickness</t>
  </si>
  <si>
    <t>outlet temperature power plant (Toutlet)</t>
  </si>
  <si>
    <t>upper limit of Temperature for (co)heat use</t>
  </si>
  <si>
    <t>rock volume involved</t>
  </si>
  <si>
    <t>m3</t>
  </si>
  <si>
    <t>power surface facilities</t>
  </si>
  <si>
    <t>UR for volume</t>
  </si>
  <si>
    <t>thermal power for electricity</t>
  </si>
  <si>
    <t>MWth</t>
  </si>
  <si>
    <t>net power produced, taking into account the relative efficiency recorded by operating binary and flash plants</t>
  </si>
  <si>
    <t>electric power</t>
  </si>
  <si>
    <t>power Loadtime</t>
  </si>
  <si>
    <t>hours/year</t>
  </si>
  <si>
    <t>effective load hours in a year for electricity production</t>
  </si>
  <si>
    <t>power Plant investment costs</t>
  </si>
  <si>
    <t>costs for power conversion system</t>
  </si>
  <si>
    <t>power Distance to grid</t>
  </si>
  <si>
    <t>distance for the connection to the power grid</t>
  </si>
  <si>
    <t>power Grid investment</t>
  </si>
  <si>
    <t>Euro/kWe</t>
  </si>
  <si>
    <t>grid connection cost per unit of power installed</t>
  </si>
  <si>
    <t>power Grid Connection Variable</t>
  </si>
  <si>
    <t>Euro/m</t>
  </si>
  <si>
    <t>grid connection cost per unit of distance</t>
  </si>
  <si>
    <t>power plant capex</t>
  </si>
  <si>
    <t>mln Euro</t>
  </si>
  <si>
    <t>calculated capex for power plant and grid connection</t>
  </si>
  <si>
    <t>power Fixed O&amp;M rate</t>
  </si>
  <si>
    <t>O&amp;M costs as percentage of caclulated capex for (sub)surface facilities</t>
  </si>
  <si>
    <t>power Fixed O&amp;M</t>
  </si>
  <si>
    <t>calculated O&amp;M costs per unit of power installed</t>
  </si>
  <si>
    <t>power Variable O&amp;M</t>
  </si>
  <si>
    <t>Euro/MWhe</t>
  </si>
  <si>
    <t>calculated variable O&amp;M costs (dependent on COP, and efficiency of conversion)</t>
  </si>
  <si>
    <t>(co)heat surface facilities</t>
  </si>
  <si>
    <t>direct heat reinjection temperature(Treinject)</t>
  </si>
  <si>
    <t>reinjection temperature (effective temperature range is Toutlet..Treinject)</t>
  </si>
  <si>
    <t>direct heat production</t>
  </si>
  <si>
    <t>heat production</t>
  </si>
  <si>
    <t>direct heat load hours</t>
  </si>
  <si>
    <t>effective load hours in a year for heat production</t>
  </si>
  <si>
    <t>direct heat plant investment costs</t>
  </si>
  <si>
    <t>kEuro/MWth</t>
  </si>
  <si>
    <t>heat surface installation costs per unit of heat production</t>
  </si>
  <si>
    <t>direct heat capex</t>
  </si>
  <si>
    <t>calculate capex for heat production surface facilities</t>
  </si>
  <si>
    <t>direct heat Fixed O&amp;M rate</t>
  </si>
  <si>
    <t>O&amp;M costs as percentage of caclulated capex for (sub) surface facilities</t>
  </si>
  <si>
    <t>direct heat Fixed O&amp;M</t>
  </si>
  <si>
    <t>calculated O&amp;M costs per unit of heat production installed</t>
  </si>
  <si>
    <t>direct heat Variable O&amp;M</t>
  </si>
  <si>
    <t>Eur/MWHth</t>
  </si>
  <si>
    <t>calculated variable O&amp;M costs (dependent on COP)</t>
  </si>
  <si>
    <t>complementary sales</t>
  </si>
  <si>
    <t>complementary electricity sales</t>
  </si>
  <si>
    <t>Euro/MWh</t>
  </si>
  <si>
    <t xml:space="preserve">complementary revenues from electricity sales </t>
  </si>
  <si>
    <t>complementary heat sales</t>
  </si>
  <si>
    <t>euro/GJ</t>
  </si>
  <si>
    <t>complementary revennues from  heat sales</t>
  </si>
  <si>
    <t>fiscal stimulus</t>
  </si>
  <si>
    <t>fiscal stimulus on lowering EBT</t>
  </si>
  <si>
    <t>no</t>
  </si>
  <si>
    <t>yes/no</t>
  </si>
  <si>
    <t>apply fiscal stimulus on lowering earnings before tax (EBT) of the project developer</t>
  </si>
  <si>
    <t>percentage of CAPEX for fiscal stimulus</t>
  </si>
  <si>
    <t>percentage of CAPEX which can be deducted from EBT</t>
  </si>
  <si>
    <t>legal max in allowed tax deduction</t>
  </si>
  <si>
    <t>legal maximum in tax benefit</t>
  </si>
  <si>
    <t>NPV of benefit to project</t>
  </si>
  <si>
    <t>effective benefit to project</t>
  </si>
  <si>
    <t>Inflation</t>
  </si>
  <si>
    <t>inflation for costs and benefits in project cash flow</t>
  </si>
  <si>
    <t>loan rate</t>
  </si>
  <si>
    <t>interest rate on debt</t>
  </si>
  <si>
    <t>Required return on equity</t>
  </si>
  <si>
    <t>required return on equity</t>
  </si>
  <si>
    <t>Equity share in investment</t>
  </si>
  <si>
    <t>share of equity in the effective investment</t>
  </si>
  <si>
    <t>Debt share in investment</t>
  </si>
  <si>
    <t xml:space="preserve">share of debt(the loan) in effective investment </t>
  </si>
  <si>
    <t>Tax</t>
  </si>
  <si>
    <t>tax rate for company</t>
  </si>
  <si>
    <t>Term Loan</t>
  </si>
  <si>
    <t>Year</t>
  </si>
  <si>
    <t>number of years for the loan</t>
  </si>
  <si>
    <t>Depreciation period</t>
  </si>
  <si>
    <t>number of years for depreciation (linear per unit of production)</t>
  </si>
  <si>
    <t>POWER (power,co-heat)</t>
  </si>
  <si>
    <t>levelized cost of energy (LCOE)</t>
  </si>
  <si>
    <t>Euro/Mwhe</t>
  </si>
  <si>
    <t>HEAT SHEET (heat)</t>
  </si>
  <si>
    <t>Euro/GJ</t>
  </si>
  <si>
    <t>1MWhth=3.6GJ</t>
  </si>
  <si>
    <t>GEOTWIN-DC — HYBRID SYSTEM ADDITIONS  |  Data Drillers · SPE Africa Geothermal Datathon 2026</t>
  </si>
  <si>
    <t>Blue = user input  |  Black = formula  |  Yellow = key assumption  |  Green = result</t>
  </si>
  <si>
    <t>Parameter</t>
  </si>
  <si>
    <t>Scenario A
(Geo Only)</t>
  </si>
  <si>
    <t>Scenario B
(Geo + HP)</t>
  </si>
  <si>
    <t>Scenario C ★
(Geo+HP+Storage)</t>
  </si>
  <si>
    <t>Scenario D
(Geo+HP+Stor+Solar)</t>
  </si>
  <si>
    <t>Notes</t>
  </si>
  <si>
    <t>── CAPEX</t>
  </si>
  <si>
    <t>Subsurface CAPEX</t>
  </si>
  <si>
    <t>mln €</t>
  </si>
  <si>
    <t>n_wells×(drill+stim)+pumps</t>
  </si>
  <si>
    <t>Surface Infrastructure</t>
  </si>
  <si>
    <t>heat_capex from template</t>
  </si>
  <si>
    <t>Heat Pump CAPEX</t>
  </si>
  <si>
    <t>Scen B/C/D</t>
  </si>
  <si>
    <t>Thermal Storage CAPEX</t>
  </si>
  <si>
    <t>120 MWh × €0.1M/MWh</t>
  </si>
  <si>
    <t>Solar/Waste Heat CAPEX</t>
  </si>
  <si>
    <t>Scenario D only</t>
  </si>
  <si>
    <t>TOTAL CAPEX</t>
  </si>
  <si>
    <t>Sum of all items</t>
  </si>
  <si>
    <t>── OPEX</t>
  </si>
  <si>
    <t>Fixed O&amp;M</t>
  </si>
  <si>
    <t>kEuro/yr</t>
  </si>
  <si>
    <t>1% of CAPEX, from template</t>
  </si>
  <si>
    <t>€/MWh</t>
  </si>
  <si>
    <t>template D46</t>
  </si>
  <si>
    <t>Pump Workover (Y5/10/15)</t>
  </si>
  <si>
    <t>€</t>
  </si>
  <si>
    <t>template D14×1000</t>
  </si>
  <si>
    <t>── THERMAL ENERGY</t>
  </si>
  <si>
    <t>Geo Thermal Supply (template)</t>
  </si>
  <si>
    <t>flow×cp×rho×ΔT×1e-9</t>
  </si>
  <si>
    <t>Heat Pump Boost</t>
  </si>
  <si>
    <t>Solar/Waste Heat (avg)</t>
  </si>
  <si>
    <t>Scenario D seasonal avg</t>
  </si>
  <si>
    <t>Total Installed Cap</t>
  </si>
  <si>
    <t>Geo+HP+Solar</t>
  </si>
  <si>
    <t>Annual Heat (GJ/yr)</t>
  </si>
  <si>
    <t>GJ/yr</t>
  </si>
  <si>
    <t>geo×6000×3.6</t>
  </si>
  <si>
    <t>── FINANCIAL</t>
  </si>
  <si>
    <t>WACC</t>
  </si>
  <si>
    <t>6.6% verified</t>
  </si>
  <si>
    <t>Reliability (%)</t>
  </si>
  <si>
    <t>from Python simulation, avg_demand=15 MW</t>
  </si>
  <si>
    <t>── LCoE RESULTS</t>
  </si>
  <si>
    <t>LCoE (€/GJ) — CFheat template</t>
  </si>
  <si>
    <t>€/GJ</t>
  </si>
  <si>
    <t>from CFheat!D70 per scenario run</t>
  </si>
  <si>
    <t>LCoE (€/MWh) — GEOTWIN-DC</t>
  </si>
  <si>
    <t>×3.6 conversion</t>
  </si>
  <si>
    <t>CO₂ Offset (lifetime tonnes)</t>
  </si>
  <si>
    <t>t CO₂</t>
  </si>
  <si>
    <t>annual_mwh×0.24×15</t>
  </si>
  <si>
    <t>── SCENARIO DECISION</t>
  </si>
  <si>
    <t>Project Status</t>
  </si>
  <si>
    <t>REJECTED ✗</t>
  </si>
  <si>
    <t>REVIEW ⚠</t>
  </si>
  <si>
    <t>OPTIMAL ✓</t>
  </si>
  <si>
    <t>See notes</t>
  </si>
  <si>
    <t>Recommended Action</t>
  </si>
  <si>
    <t>Reliability OK but
no cooling support</t>
  </si>
  <si>
    <t>Borderline — monitor
peak demand buffer</t>
  </si>
  <si>
    <t>Proceed — best LCoE
+ full reliability</t>
  </si>
  <si>
    <t>Over-capitalised vs
Scenario C</t>
  </si>
  <si>
    <t>Geothermal power (and co-heat)</t>
  </si>
  <si>
    <t>Investment</t>
  </si>
  <si>
    <t>Euro</t>
  </si>
  <si>
    <t>Electricity(A)</t>
  </si>
  <si>
    <t>kWh</t>
  </si>
  <si>
    <t>Operational Costs(B)</t>
  </si>
  <si>
    <t>Installation Pump  (C )</t>
  </si>
  <si>
    <t>Market value electricity&amp;heat (D)</t>
  </si>
  <si>
    <t>Total income (E=D)</t>
  </si>
  <si>
    <t>Total costs (F=B+C)</t>
  </si>
  <si>
    <t>Gross revenue (G=E+F)</t>
  </si>
  <si>
    <t>Depreciation (H)</t>
  </si>
  <si>
    <t>interest (I)</t>
  </si>
  <si>
    <t>payment (J)</t>
  </si>
  <si>
    <t>Total loan charges (K=I+J)</t>
  </si>
  <si>
    <t>Taxable income (L=G+D+I),needs to be recovered from sales</t>
  </si>
  <si>
    <t>Tax  (M)</t>
  </si>
  <si>
    <t>Net revenue after taxes (N=G+K+M)</t>
  </si>
  <si>
    <t>Discounted revenue</t>
  </si>
  <si>
    <t>euro</t>
  </si>
  <si>
    <t>Discounted energy sales</t>
  </si>
  <si>
    <t>MWh</t>
  </si>
  <si>
    <t>Total investment</t>
  </si>
  <si>
    <t>Project rate</t>
  </si>
  <si>
    <t>capex for fiscal stimulus</t>
  </si>
  <si>
    <t>fiscal lowering of Earnings before tax (EBT)</t>
  </si>
  <si>
    <t>NPV benefit to project</t>
  </si>
  <si>
    <t>Loan share</t>
  </si>
  <si>
    <t>Equity share</t>
  </si>
  <si>
    <t>geothermal heat</t>
  </si>
  <si>
    <t>Positive values = good for producer</t>
  </si>
  <si>
    <t>heat(A)</t>
  </si>
  <si>
    <t>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</si>
</sst>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0.0000"/>
    <numFmt numFmtId="165" formatCode="0.000"/>
    <numFmt numFmtId="166" formatCode="#,##0.000"/>
    <numFmt numFmtId="167" formatCode="0.0"/>
    <numFmt numFmtId="168" formatCode="0.0%"/>
    <numFmt numFmtId="169" formatCode="#,##0.000;\(#,##0.000\);\-"/>
    <numFmt numFmtId="170" formatCode="\€#,##0.00;&quot;(€&quot;#,##0.00\);\-"/>
    <numFmt numFmtId="171" formatCode="#,##0.00;\(#,##0.00\);\-"/>
    <numFmt numFmtId="172" formatCode="#,##0;\(#,##0\);\-"/>
    <numFmt numFmtId="173" formatCode="0.00%;\-0.00%;\-"/>
    <numFmt numFmtId="174" formatCode="\€#,##0.00&quot; /MWh&quot;;&quot;(€&quot;#,##0.00&quot; /MWh)&quot;;\-"/>
    <numFmt numFmtId="175" formatCode="_-* #,##0.00_-;_-* #,##0.00\-;_-* \-??_-;_-@_-"/>
    <numFmt numFmtId="176" formatCode="&quot;€ &quot;#,##0_-;[Red]&quot;€ &quot;#,##0\-"/>
    <numFmt numFmtId="177" formatCode="0_ ;[Red]\-0\ "/>
    <numFmt numFmtId="178" formatCode="0.000%"/>
    <numFmt numFmtId="179" formatCode="&quot;€ &quot;#,##0.00;[Red]&quot;€ -&quot;#,##0.00"/>
    <numFmt numFmtId="180" formatCode="&quot;€ &quot;#,##0.0000;[Red]&quot;€ -&quot;#,##0.0000"/>
    <numFmt numFmtId="181" formatCode="0.000000"/>
  </numFmts>
  <fonts count="29" x14ac:knownFonts="1">
    <font>
      <sz val="10"/>
      <name val="Arial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sz val="18"/>
      <name val="Arial"/>
      <family val="2"/>
      <charset val="1"/>
    </font>
    <font>
      <b/>
      <sz val="11"/>
      <name val="Arial"/>
      <family val="2"/>
      <charset val="1"/>
    </font>
    <font>
      <sz val="13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i/>
      <sz val="10"/>
      <name val="Arial"/>
      <family val="2"/>
      <charset val="1"/>
    </font>
    <font>
      <b/>
      <sz val="10"/>
      <name val="Arial"/>
      <family val="2"/>
      <charset val="1"/>
    </font>
    <font>
      <sz val="18"/>
      <name val="Arial"/>
      <family val="2"/>
      <charset val="1"/>
    </font>
    <font>
      <b/>
      <sz val="10"/>
      <color rgb="FF0000D4"/>
      <name val="Arial"/>
      <family val="2"/>
      <charset val="1"/>
    </font>
    <font>
      <sz val="12"/>
      <color rgb="FFDD0806"/>
      <name val="Arial"/>
      <family val="2"/>
      <charset val="1"/>
    </font>
    <font>
      <b/>
      <sz val="11"/>
      <color rgb="FFFFFFFF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sz val="9"/>
      <color rgb="FF000000"/>
      <name val="Arial"/>
      <charset val="1"/>
    </font>
    <font>
      <sz val="8"/>
      <color rgb="FF595959"/>
      <name val="Arial"/>
      <charset val="1"/>
    </font>
    <font>
      <i/>
      <sz val="8"/>
      <color rgb="FF595959"/>
      <name val="Arial"/>
      <charset val="1"/>
    </font>
    <font>
      <sz val="9"/>
      <color rgb="FF0000FF"/>
      <name val="Arial"/>
      <charset val="1"/>
    </font>
    <font>
      <b/>
      <sz val="10"/>
      <color rgb="FF002060"/>
      <name val="Arial"/>
      <charset val="1"/>
    </font>
    <font>
      <b/>
      <sz val="10"/>
      <color rgb="FF0000FF"/>
      <name val="Arial"/>
      <charset val="1"/>
    </font>
    <font>
      <b/>
      <sz val="11"/>
      <color rgb="FF002060"/>
      <name val="Arial"/>
      <charset val="1"/>
    </font>
    <font>
      <b/>
      <sz val="9"/>
      <color rgb="FFFF4D6D"/>
      <name val="Arial"/>
      <charset val="1"/>
    </font>
    <font>
      <b/>
      <sz val="9"/>
      <color rgb="FFF4A532"/>
      <name val="Arial"/>
      <charset val="1"/>
    </font>
    <font>
      <b/>
      <sz val="9"/>
      <color rgb="FF1F6B38"/>
      <name val="Arial"/>
      <charset val="1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rgb="FFF2F2F2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2D050"/>
        <bgColor rgb="FFBFBFBF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9" tint="0.39988402966399123"/>
        <bgColor rgb="FFFFCC99"/>
      </patternFill>
    </fill>
    <fill>
      <patternFill patternType="solid">
        <fgColor rgb="FF002060"/>
        <bgColor rgb="FF000080"/>
      </patternFill>
    </fill>
    <fill>
      <patternFill patternType="solid">
        <fgColor rgb="FFF2F2F2"/>
        <bgColor rgb="FFEEECE1"/>
      </patternFill>
    </fill>
    <fill>
      <patternFill patternType="solid">
        <fgColor rgb="FF1F4E79"/>
        <bgColor rgb="FF1F6B38"/>
      </patternFill>
    </fill>
    <fill>
      <patternFill patternType="solid">
        <fgColor rgb="FFFFF2CC"/>
        <bgColor rgb="FFFFF0CC"/>
      </patternFill>
    </fill>
    <fill>
      <patternFill patternType="solid">
        <fgColor rgb="FFC6EFCE"/>
        <bgColor rgb="FFCCFFCC"/>
      </patternFill>
    </fill>
    <fill>
      <patternFill patternType="solid">
        <fgColor rgb="FFFFD7DD"/>
        <bgColor rgb="FFEEECE1"/>
      </patternFill>
    </fill>
    <fill>
      <patternFill patternType="solid">
        <fgColor rgb="FFFFF0CC"/>
        <bgColor rgb="FFFFF2CC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/>
    <xf numFmtId="175" fontId="1" fillId="0" borderId="0"/>
    <xf numFmtId="9" fontId="1" fillId="0" borderId="0"/>
    <xf numFmtId="0" fontId="1" fillId="0" borderId="0"/>
  </cellStyleXfs>
  <cellXfs count="224">
    <xf numFmtId="0" fontId="0" fillId="0" borderId="0" xfId="0"/>
    <xf numFmtId="0" fontId="16" fillId="9" borderId="0" xfId="0" applyFont="1" applyFill="1" applyBorder="1" applyAlignment="1">
      <alignment horizontal="left" vertical="center"/>
    </xf>
    <xf numFmtId="0" fontId="15" fillId="10" borderId="0" xfId="0" applyFont="1" applyFill="1" applyBorder="1"/>
    <xf numFmtId="0" fontId="14" fillId="9" borderId="0" xfId="0" applyFont="1" applyFill="1" applyBorder="1" applyAlignment="1">
      <alignment horizontal="left" vertical="center"/>
    </xf>
    <xf numFmtId="0" fontId="1" fillId="3" borderId="6" xfId="0" applyFont="1" applyFill="1" applyBorder="1"/>
    <xf numFmtId="0" fontId="1" fillId="3" borderId="14" xfId="0" applyFont="1" applyFill="1" applyBorder="1"/>
    <xf numFmtId="0" fontId="1" fillId="3" borderId="4" xfId="0" applyFont="1" applyFill="1" applyBorder="1"/>
    <xf numFmtId="0" fontId="1" fillId="3" borderId="13" xfId="0" applyFont="1" applyFill="1" applyBorder="1"/>
    <xf numFmtId="0" fontId="12" fillId="3" borderId="12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2" borderId="4" xfId="0" applyFont="1" applyFill="1" applyBorder="1" applyAlignment="1">
      <alignment wrapTex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3" xfId="0" applyBorder="1"/>
    <xf numFmtId="0" fontId="0" fillId="0" borderId="4" xfId="0" applyBorder="1"/>
    <xf numFmtId="0" fontId="1" fillId="0" borderId="4" xfId="0" applyFont="1" applyBorder="1" applyAlignment="1">
      <alignment wrapText="1"/>
    </xf>
    <xf numFmtId="49" fontId="1" fillId="0" borderId="4" xfId="0" applyNumberFormat="1" applyFont="1" applyBorder="1" applyAlignment="1">
      <alignment horizontal="left" wrapText="1"/>
    </xf>
    <xf numFmtId="0" fontId="1" fillId="0" borderId="3" xfId="0" applyFont="1" applyBorder="1"/>
    <xf numFmtId="0" fontId="0" fillId="0" borderId="4" xfId="0" applyBorder="1" applyAlignment="1">
      <alignment wrapText="1"/>
    </xf>
    <xf numFmtId="0" fontId="0" fillId="0" borderId="3" xfId="0" applyFont="1" applyBorder="1" applyAlignment="1">
      <alignment vertical="top"/>
    </xf>
    <xf numFmtId="0" fontId="9" fillId="0" borderId="3" xfId="0" applyFont="1" applyBorder="1"/>
    <xf numFmtId="0" fontId="1" fillId="0" borderId="4" xfId="0" applyFont="1" applyBorder="1"/>
    <xf numFmtId="0" fontId="10" fillId="3" borderId="1" xfId="0" applyFont="1" applyFill="1" applyBorder="1"/>
    <xf numFmtId="0" fontId="0" fillId="3" borderId="2" xfId="0" applyFill="1" applyBorder="1"/>
    <xf numFmtId="0" fontId="10" fillId="4" borderId="3" xfId="0" applyFont="1" applyFill="1" applyBorder="1"/>
    <xf numFmtId="0" fontId="0" fillId="4" borderId="4" xfId="0" applyFill="1" applyBorder="1"/>
    <xf numFmtId="0" fontId="1" fillId="5" borderId="5" xfId="0" applyFont="1" applyFill="1" applyBorder="1"/>
    <xf numFmtId="0" fontId="0" fillId="5" borderId="6" xfId="0" applyFill="1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6" borderId="7" xfId="0" applyFont="1" applyFill="1" applyBorder="1" applyAlignment="1">
      <alignment horizontal="left"/>
    </xf>
    <xf numFmtId="0" fontId="11" fillId="0" borderId="8" xfId="0" applyFont="1" applyBorder="1"/>
    <xf numFmtId="0" fontId="11" fillId="4" borderId="9" xfId="0" applyFont="1" applyFill="1" applyBorder="1"/>
    <xf numFmtId="0" fontId="10" fillId="0" borderId="0" xfId="0" applyFont="1"/>
    <xf numFmtId="0" fontId="12" fillId="3" borderId="10" xfId="0" applyFont="1" applyFill="1" applyBorder="1" applyAlignment="1">
      <alignment horizontal="left"/>
    </xf>
    <xf numFmtId="0" fontId="12" fillId="3" borderId="11" xfId="0" applyFont="1" applyFill="1" applyBorder="1" applyAlignment="1">
      <alignment horizontal="left"/>
    </xf>
    <xf numFmtId="0" fontId="12" fillId="3" borderId="11" xfId="0" applyFont="1" applyFill="1" applyBorder="1" applyAlignment="1">
      <alignment horizontal="center"/>
    </xf>
    <xf numFmtId="0" fontId="1" fillId="3" borderId="0" xfId="0" applyFont="1" applyFill="1"/>
    <xf numFmtId="0" fontId="1" fillId="7" borderId="0" xfId="2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3" borderId="3" xfId="0" applyFont="1" applyFill="1" applyBorder="1"/>
    <xf numFmtId="1" fontId="1" fillId="7" borderId="0" xfId="0" applyNumberFormat="1" applyFont="1" applyFill="1" applyAlignment="1">
      <alignment horizontal="center"/>
    </xf>
    <xf numFmtId="0" fontId="1" fillId="3" borderId="13" xfId="0" applyFont="1" applyFill="1" applyBorder="1"/>
    <xf numFmtId="0" fontId="5" fillId="3" borderId="0" xfId="0" applyFont="1" applyFill="1"/>
    <xf numFmtId="0" fontId="1" fillId="4" borderId="0" xfId="2" applyNumberFormat="1" applyFont="1" applyFill="1" applyAlignment="1">
      <alignment horizontal="center"/>
    </xf>
    <xf numFmtId="164" fontId="0" fillId="0" borderId="0" xfId="0" applyNumberFormat="1"/>
    <xf numFmtId="0" fontId="1" fillId="3" borderId="4" xfId="0" applyFont="1" applyFill="1" applyBorder="1"/>
    <xf numFmtId="1" fontId="1" fillId="4" borderId="0" xfId="2" applyNumberFormat="1" applyFont="1" applyFill="1" applyAlignment="1">
      <alignment horizontal="center"/>
    </xf>
    <xf numFmtId="0" fontId="1" fillId="3" borderId="14" xfId="0" applyFont="1" applyFill="1" applyBorder="1"/>
    <xf numFmtId="0" fontId="10" fillId="3" borderId="15" xfId="0" applyFont="1" applyFill="1" applyBorder="1"/>
    <xf numFmtId="0" fontId="10" fillId="3" borderId="16" xfId="0" applyFont="1" applyFill="1" applyBorder="1"/>
    <xf numFmtId="164" fontId="1" fillId="3" borderId="16" xfId="0" applyNumberFormat="1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6" xfId="0" applyFont="1" applyFill="1" applyBorder="1"/>
    <xf numFmtId="0" fontId="0" fillId="3" borderId="17" xfId="0" applyFill="1" applyBorder="1"/>
    <xf numFmtId="0" fontId="7" fillId="6" borderId="0" xfId="0" applyFont="1" applyFill="1"/>
    <xf numFmtId="0" fontId="1" fillId="6" borderId="0" xfId="2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3" borderId="18" xfId="0" applyFont="1" applyFill="1" applyBorder="1"/>
    <xf numFmtId="0" fontId="1" fillId="3" borderId="19" xfId="0" applyFont="1" applyFill="1" applyBorder="1"/>
    <xf numFmtId="0" fontId="1" fillId="4" borderId="19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8" borderId="0" xfId="2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3" borderId="20" xfId="0" applyFont="1" applyFill="1" applyBorder="1"/>
    <xf numFmtId="0" fontId="1" fillId="3" borderId="21" xfId="0" applyFont="1" applyFill="1" applyBorder="1"/>
    <xf numFmtId="0" fontId="10" fillId="3" borderId="21" xfId="2" applyNumberFormat="1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0" fillId="3" borderId="3" xfId="0" applyFont="1" applyFill="1" applyBorder="1"/>
    <xf numFmtId="0" fontId="10" fillId="3" borderId="0" xfId="0" applyFont="1" applyFill="1"/>
    <xf numFmtId="0" fontId="1" fillId="3" borderId="0" xfId="2" applyNumberFormat="1" applyFont="1" applyFill="1" applyAlignment="1">
      <alignment horizontal="center"/>
    </xf>
    <xf numFmtId="0" fontId="1" fillId="7" borderId="19" xfId="2" applyNumberFormat="1" applyFont="1" applyFill="1" applyBorder="1" applyAlignment="1">
      <alignment horizontal="center"/>
    </xf>
    <xf numFmtId="0" fontId="0" fillId="3" borderId="0" xfId="0" applyFont="1" applyFill="1"/>
    <xf numFmtId="11" fontId="1" fillId="3" borderId="0" xfId="0" applyNumberFormat="1" applyFont="1" applyFill="1" applyAlignment="1">
      <alignment horizontal="center"/>
    </xf>
    <xf numFmtId="0" fontId="1" fillId="3" borderId="21" xfId="2" applyNumberFormat="1" applyFont="1" applyFill="1" applyBorder="1" applyAlignment="1">
      <alignment horizontal="center"/>
    </xf>
    <xf numFmtId="11" fontId="1" fillId="6" borderId="0" xfId="2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4" xfId="0" applyFill="1" applyBorder="1"/>
    <xf numFmtId="9" fontId="1" fillId="4" borderId="19" xfId="2" applyFont="1" applyFill="1" applyBorder="1" applyAlignment="1">
      <alignment horizontal="center"/>
    </xf>
    <xf numFmtId="1" fontId="1" fillId="3" borderId="21" xfId="2" applyNumberFormat="1" applyFont="1" applyFill="1" applyBorder="1" applyAlignment="1">
      <alignment horizontal="center"/>
    </xf>
    <xf numFmtId="11" fontId="1" fillId="3" borderId="0" xfId="2" applyNumberFormat="1" applyFont="1" applyFill="1" applyAlignment="1">
      <alignment horizontal="center"/>
    </xf>
    <xf numFmtId="10" fontId="1" fillId="3" borderId="0" xfId="0" applyNumberFormat="1" applyFont="1" applyFill="1" applyAlignment="1">
      <alignment horizontal="center"/>
    </xf>
    <xf numFmtId="165" fontId="10" fillId="3" borderId="19" xfId="0" applyNumberFormat="1" applyFont="1" applyFill="1" applyBorder="1" applyAlignment="1">
      <alignment horizontal="center"/>
    </xf>
    <xf numFmtId="165" fontId="1" fillId="3" borderId="0" xfId="0" applyNumberFormat="1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2" fontId="1" fillId="0" borderId="0" xfId="0" applyNumberFormat="1" applyFont="1"/>
    <xf numFmtId="166" fontId="10" fillId="3" borderId="0" xfId="0" applyNumberFormat="1" applyFont="1" applyFill="1" applyAlignment="1">
      <alignment horizontal="center"/>
    </xf>
    <xf numFmtId="165" fontId="0" fillId="0" borderId="0" xfId="0" applyNumberFormat="1"/>
    <xf numFmtId="9" fontId="1" fillId="4" borderId="0" xfId="0" applyNumberFormat="1" applyFont="1" applyFill="1" applyAlignment="1">
      <alignment horizontal="center"/>
    </xf>
    <xf numFmtId="0" fontId="1" fillId="4" borderId="19" xfId="2" applyNumberFormat="1" applyFont="1" applyFill="1" applyBorder="1" applyAlignment="1">
      <alignment horizontal="center"/>
    </xf>
    <xf numFmtId="165" fontId="1" fillId="3" borderId="0" xfId="2" applyNumberFormat="1" applyFont="1" applyFill="1" applyAlignment="1">
      <alignment horizontal="center"/>
    </xf>
    <xf numFmtId="2" fontId="10" fillId="3" borderId="0" xfId="2" applyNumberFormat="1" applyFont="1" applyFill="1" applyAlignment="1">
      <alignment horizontal="center"/>
    </xf>
    <xf numFmtId="0" fontId="10" fillId="3" borderId="18" xfId="0" applyFont="1" applyFill="1" applyBorder="1"/>
    <xf numFmtId="0" fontId="1" fillId="3" borderId="19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1" fillId="3" borderId="16" xfId="0" applyFont="1" applyFill="1" applyBorder="1"/>
    <xf numFmtId="2" fontId="1" fillId="4" borderId="19" xfId="0" applyNumberFormat="1" applyFont="1" applyFill="1" applyBorder="1" applyAlignment="1">
      <alignment horizontal="center"/>
    </xf>
    <xf numFmtId="0" fontId="1" fillId="4" borderId="21" xfId="2" applyNumberFormat="1" applyFont="1" applyFill="1" applyBorder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4" xfId="0" applyFont="1" applyFill="1" applyBorder="1" applyAlignment="1">
      <alignment horizontal="left"/>
    </xf>
    <xf numFmtId="9" fontId="10" fillId="4" borderId="19" xfId="0" applyNumberFormat="1" applyFont="1" applyFill="1" applyBorder="1" applyAlignment="1">
      <alignment horizontal="center"/>
    </xf>
    <xf numFmtId="3" fontId="1" fillId="4" borderId="0" xfId="0" applyNumberFormat="1" applyFont="1" applyFill="1" applyAlignment="1">
      <alignment horizontal="center"/>
    </xf>
    <xf numFmtId="167" fontId="1" fillId="3" borderId="21" xfId="2" applyNumberFormat="1" applyFont="1" applyFill="1" applyBorder="1" applyAlignment="1">
      <alignment horizontal="center"/>
    </xf>
    <xf numFmtId="0" fontId="1" fillId="3" borderId="15" xfId="0" applyFont="1" applyFill="1" applyBorder="1"/>
    <xf numFmtId="9" fontId="1" fillId="3" borderId="16" xfId="2" applyFont="1" applyFill="1" applyBorder="1" applyAlignment="1">
      <alignment horizontal="center"/>
    </xf>
    <xf numFmtId="9" fontId="0" fillId="4" borderId="0" xfId="0" applyNumberFormat="1" applyFill="1" applyAlignment="1">
      <alignment horizontal="center"/>
    </xf>
    <xf numFmtId="168" fontId="1" fillId="4" borderId="0" xfId="2" applyNumberFormat="1" applyFont="1" applyFill="1" applyAlignment="1">
      <alignment horizontal="center"/>
    </xf>
    <xf numFmtId="9" fontId="1" fillId="4" borderId="0" xfId="2" applyFont="1" applyFill="1" applyAlignment="1">
      <alignment horizontal="center"/>
    </xf>
    <xf numFmtId="0" fontId="1" fillId="3" borderId="3" xfId="3" applyFont="1" applyFill="1" applyBorder="1"/>
    <xf numFmtId="0" fontId="1" fillId="3" borderId="0" xfId="3" applyFont="1" applyFill="1"/>
    <xf numFmtId="9" fontId="1" fillId="3" borderId="0" xfId="2" applyFont="1" applyFill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" fillId="3" borderId="0" xfId="0" applyFont="1" applyFill="1" applyAlignment="1">
      <alignment horizontal="right"/>
    </xf>
    <xf numFmtId="0" fontId="1" fillId="3" borderId="15" xfId="0" applyFont="1" applyFill="1" applyBorder="1" applyAlignment="1">
      <alignment horizontal="left"/>
    </xf>
    <xf numFmtId="0" fontId="1" fillId="3" borderId="16" xfId="0" applyFont="1" applyFill="1" applyBorder="1" applyAlignment="1">
      <alignment horizontal="left"/>
    </xf>
    <xf numFmtId="0" fontId="1" fillId="3" borderId="5" xfId="3" applyFont="1" applyFill="1" applyBorder="1"/>
    <xf numFmtId="0" fontId="1" fillId="3" borderId="22" xfId="3" applyFont="1" applyFill="1" applyBorder="1"/>
    <xf numFmtId="0" fontId="1" fillId="4" borderId="22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0" fillId="0" borderId="1" xfId="0" applyBorder="1"/>
    <xf numFmtId="0" fontId="1" fillId="3" borderId="23" xfId="0" applyFont="1" applyFill="1" applyBorder="1"/>
    <xf numFmtId="0" fontId="1" fillId="3" borderId="24" xfId="0" applyFont="1" applyFill="1" applyBorder="1"/>
    <xf numFmtId="2" fontId="13" fillId="3" borderId="24" xfId="0" applyNumberFormat="1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3" fontId="0" fillId="0" borderId="0" xfId="0" applyNumberFormat="1"/>
    <xf numFmtId="2" fontId="0" fillId="0" borderId="0" xfId="0" applyNumberFormat="1" applyAlignment="1">
      <alignment horizontal="center"/>
    </xf>
    <xf numFmtId="0" fontId="16" fillId="11" borderId="26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left" vertical="center"/>
    </xf>
    <xf numFmtId="169" fontId="18" fillId="10" borderId="26" xfId="0" applyNumberFormat="1" applyFont="1" applyFill="1" applyBorder="1" applyAlignment="1">
      <alignment horizontal="right" vertical="center"/>
    </xf>
    <xf numFmtId="0" fontId="19" fillId="0" borderId="2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169" fontId="18" fillId="10" borderId="26" xfId="0" applyNumberFormat="1" applyFont="1" applyFill="1" applyBorder="1" applyAlignment="1">
      <alignment horizontal="center" vertical="center" wrapText="1"/>
    </xf>
    <xf numFmtId="0" fontId="17" fillId="12" borderId="26" xfId="0" applyFont="1" applyFill="1" applyBorder="1" applyAlignment="1">
      <alignment horizontal="left" vertical="center"/>
    </xf>
    <xf numFmtId="169" fontId="21" fillId="12" borderId="26" xfId="0" applyNumberFormat="1" applyFont="1" applyFill="1" applyBorder="1" applyAlignment="1">
      <alignment horizontal="right" vertical="center"/>
    </xf>
    <xf numFmtId="0" fontId="17" fillId="13" borderId="26" xfId="0" applyFont="1" applyFill="1" applyBorder="1" applyAlignment="1">
      <alignment horizontal="left" vertical="center"/>
    </xf>
    <xf numFmtId="169" fontId="22" fillId="13" borderId="26" xfId="0" applyNumberFormat="1" applyFont="1" applyFill="1" applyBorder="1" applyAlignment="1">
      <alignment horizontal="right" vertical="center"/>
    </xf>
    <xf numFmtId="170" fontId="18" fillId="10" borderId="26" xfId="0" applyNumberFormat="1" applyFont="1" applyFill="1" applyBorder="1" applyAlignment="1">
      <alignment horizontal="right" vertical="center"/>
    </xf>
    <xf numFmtId="0" fontId="18" fillId="10" borderId="26" xfId="0" applyFont="1" applyFill="1" applyBorder="1" applyAlignment="1">
      <alignment horizontal="right" vertical="center"/>
    </xf>
    <xf numFmtId="171" fontId="18" fillId="10" borderId="26" xfId="0" applyNumberFormat="1" applyFont="1" applyFill="1" applyBorder="1" applyAlignment="1">
      <alignment horizontal="right" vertical="center"/>
    </xf>
    <xf numFmtId="0" fontId="21" fillId="12" borderId="26" xfId="0" applyFont="1" applyFill="1" applyBorder="1" applyAlignment="1">
      <alignment horizontal="right" vertical="center"/>
    </xf>
    <xf numFmtId="172" fontId="18" fillId="10" borderId="26" xfId="0" applyNumberFormat="1" applyFont="1" applyFill="1" applyBorder="1" applyAlignment="1">
      <alignment horizontal="right" vertical="center"/>
    </xf>
    <xf numFmtId="173" fontId="18" fillId="10" borderId="26" xfId="0" applyNumberFormat="1" applyFont="1" applyFill="1" applyBorder="1" applyAlignment="1">
      <alignment horizontal="right" vertical="center"/>
    </xf>
    <xf numFmtId="173" fontId="21" fillId="12" borderId="26" xfId="0" applyNumberFormat="1" applyFont="1" applyFill="1" applyBorder="1" applyAlignment="1">
      <alignment horizontal="right" vertical="center"/>
    </xf>
    <xf numFmtId="170" fontId="23" fillId="12" borderId="26" xfId="0" applyNumberFormat="1" applyFont="1" applyFill="1" applyBorder="1" applyAlignment="1">
      <alignment horizontal="right" vertical="center"/>
    </xf>
    <xf numFmtId="174" fontId="24" fillId="13" borderId="26" xfId="0" applyNumberFormat="1" applyFont="1" applyFill="1" applyBorder="1" applyAlignment="1">
      <alignment horizontal="right" vertical="center"/>
    </xf>
    <xf numFmtId="172" fontId="21" fillId="12" borderId="26" xfId="0" applyNumberFormat="1" applyFont="1" applyFill="1" applyBorder="1" applyAlignment="1">
      <alignment horizontal="right" vertical="center"/>
    </xf>
    <xf numFmtId="0" fontId="17" fillId="0" borderId="26" xfId="0" applyFont="1" applyBorder="1" applyAlignment="1">
      <alignment horizontal="left" vertical="center"/>
    </xf>
    <xf numFmtId="0" fontId="25" fillId="14" borderId="26" xfId="0" applyFont="1" applyFill="1" applyBorder="1" applyAlignment="1">
      <alignment horizontal="center" vertical="center" wrapText="1"/>
    </xf>
    <xf numFmtId="0" fontId="26" fillId="15" borderId="26" xfId="0" applyFont="1" applyFill="1" applyBorder="1" applyAlignment="1">
      <alignment horizontal="center" vertical="center" wrapText="1"/>
    </xf>
    <xf numFmtId="0" fontId="27" fillId="13" borderId="26" xfId="0" applyFont="1" applyFill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" fillId="3" borderId="27" xfId="0" applyFont="1" applyFill="1" applyBorder="1"/>
    <xf numFmtId="0" fontId="9" fillId="3" borderId="16" xfId="0" applyFont="1" applyFill="1" applyBorder="1"/>
    <xf numFmtId="0" fontId="10" fillId="3" borderId="16" xfId="0" applyFont="1" applyFill="1" applyBorder="1" applyAlignment="1">
      <alignment horizontal="right"/>
    </xf>
    <xf numFmtId="0" fontId="10" fillId="3" borderId="16" xfId="0" applyFont="1" applyFill="1" applyBorder="1" applyAlignment="1">
      <alignment horizontal="center"/>
    </xf>
    <xf numFmtId="0" fontId="10" fillId="3" borderId="28" xfId="0" applyFont="1" applyFill="1" applyBorder="1" applyAlignment="1">
      <alignment horizontal="center"/>
    </xf>
    <xf numFmtId="0" fontId="1" fillId="3" borderId="29" xfId="0" applyFont="1" applyFill="1" applyBorder="1"/>
    <xf numFmtId="0" fontId="1" fillId="3" borderId="30" xfId="0" applyFont="1" applyFill="1" applyBorder="1"/>
    <xf numFmtId="0" fontId="10" fillId="3" borderId="29" xfId="0" applyFont="1" applyFill="1" applyBorder="1" applyAlignment="1">
      <alignment horizontal="right"/>
    </xf>
    <xf numFmtId="3" fontId="1" fillId="3" borderId="0" xfId="0" applyNumberFormat="1" applyFont="1" applyFill="1" applyAlignment="1">
      <alignment horizontal="center"/>
    </xf>
    <xf numFmtId="3" fontId="10" fillId="3" borderId="0" xfId="0" applyNumberFormat="1" applyFont="1" applyFill="1" applyAlignment="1">
      <alignment horizontal="center"/>
    </xf>
    <xf numFmtId="3" fontId="10" fillId="3" borderId="30" xfId="0" applyNumberFormat="1" applyFont="1" applyFill="1" applyBorder="1" applyAlignment="1">
      <alignment horizontal="center"/>
    </xf>
    <xf numFmtId="0" fontId="1" fillId="3" borderId="31" xfId="0" applyFont="1" applyFill="1" applyBorder="1"/>
    <xf numFmtId="0" fontId="10" fillId="3" borderId="30" xfId="0" applyFont="1" applyFill="1" applyBorder="1" applyAlignment="1">
      <alignment horizontal="right"/>
    </xf>
    <xf numFmtId="3" fontId="1" fillId="3" borderId="0" xfId="0" applyNumberFormat="1" applyFont="1" applyFill="1"/>
    <xf numFmtId="3" fontId="1" fillId="3" borderId="30" xfId="0" applyNumberFormat="1" applyFont="1" applyFill="1" applyBorder="1"/>
    <xf numFmtId="0" fontId="1" fillId="3" borderId="31" xfId="0" applyFont="1" applyFill="1" applyBorder="1" applyAlignment="1">
      <alignment shrinkToFit="1"/>
    </xf>
    <xf numFmtId="1" fontId="1" fillId="3" borderId="31" xfId="0" applyNumberFormat="1" applyFont="1" applyFill="1" applyBorder="1" applyAlignment="1">
      <alignment shrinkToFit="1"/>
    </xf>
    <xf numFmtId="1" fontId="1" fillId="3" borderId="30" xfId="0" applyNumberFormat="1" applyFont="1" applyFill="1" applyBorder="1" applyAlignment="1">
      <alignment shrinkToFit="1"/>
    </xf>
    <xf numFmtId="3" fontId="1" fillId="3" borderId="0" xfId="0" applyNumberFormat="1" applyFont="1" applyFill="1" applyAlignment="1">
      <alignment shrinkToFit="1"/>
    </xf>
    <xf numFmtId="3" fontId="1" fillId="3" borderId="0" xfId="1" applyNumberFormat="1" applyFont="1" applyFill="1" applyAlignment="1">
      <alignment shrinkToFit="1"/>
    </xf>
    <xf numFmtId="0" fontId="1" fillId="0" borderId="0" xfId="0" applyFont="1" applyAlignment="1">
      <alignment shrinkToFit="1"/>
    </xf>
    <xf numFmtId="0" fontId="1" fillId="3" borderId="32" xfId="0" applyFont="1" applyFill="1" applyBorder="1"/>
    <xf numFmtId="0" fontId="1" fillId="3" borderId="33" xfId="0" applyFont="1" applyFill="1" applyBorder="1"/>
    <xf numFmtId="3" fontId="1" fillId="3" borderId="21" xfId="0" applyNumberFormat="1" applyFont="1" applyFill="1" applyBorder="1"/>
    <xf numFmtId="3" fontId="1" fillId="3" borderId="21" xfId="1" applyNumberFormat="1" applyFont="1" applyFill="1" applyBorder="1"/>
    <xf numFmtId="3" fontId="1" fillId="3" borderId="33" xfId="0" applyNumberFormat="1" applyFont="1" applyFill="1" applyBorder="1"/>
    <xf numFmtId="0" fontId="10" fillId="3" borderId="34" xfId="0" applyFont="1" applyFill="1" applyBorder="1"/>
    <xf numFmtId="0" fontId="10" fillId="3" borderId="28" xfId="0" applyFont="1" applyFill="1" applyBorder="1"/>
    <xf numFmtId="3" fontId="10" fillId="3" borderId="16" xfId="0" applyNumberFormat="1" applyFont="1" applyFill="1" applyBorder="1"/>
    <xf numFmtId="3" fontId="10" fillId="3" borderId="28" xfId="0" applyNumberFormat="1" applyFont="1" applyFill="1" applyBorder="1"/>
    <xf numFmtId="0" fontId="1" fillId="3" borderId="35" xfId="0" applyFont="1" applyFill="1" applyBorder="1"/>
    <xf numFmtId="0" fontId="10" fillId="0" borderId="0" xfId="0" applyFont="1" applyAlignment="1">
      <alignment horizontal="center"/>
    </xf>
    <xf numFmtId="0" fontId="10" fillId="0" borderId="30" xfId="0" applyFont="1" applyBorder="1"/>
    <xf numFmtId="0" fontId="10" fillId="0" borderId="31" xfId="0" applyFont="1" applyBorder="1"/>
    <xf numFmtId="0" fontId="1" fillId="0" borderId="31" xfId="0" applyFont="1" applyBorder="1"/>
    <xf numFmtId="3" fontId="10" fillId="0" borderId="0" xfId="0" applyNumberFormat="1" applyFont="1"/>
    <xf numFmtId="3" fontId="10" fillId="0" borderId="30" xfId="0" applyNumberFormat="1" applyFont="1" applyBorder="1"/>
    <xf numFmtId="0" fontId="10" fillId="3" borderId="30" xfId="0" applyFont="1" applyFill="1" applyBorder="1"/>
    <xf numFmtId="176" fontId="1" fillId="3" borderId="31" xfId="0" applyNumberFormat="1" applyFont="1" applyFill="1" applyBorder="1"/>
    <xf numFmtId="177" fontId="1" fillId="3" borderId="32" xfId="0" applyNumberFormat="1" applyFont="1" applyFill="1" applyBorder="1"/>
    <xf numFmtId="1" fontId="1" fillId="3" borderId="21" xfId="0" applyNumberFormat="1" applyFont="1" applyFill="1" applyBorder="1"/>
    <xf numFmtId="0" fontId="1" fillId="3" borderId="36" xfId="0" applyFont="1" applyFill="1" applyBorder="1"/>
    <xf numFmtId="3" fontId="1" fillId="3" borderId="19" xfId="0" applyNumberFormat="1" applyFont="1" applyFill="1" applyBorder="1"/>
    <xf numFmtId="0" fontId="1" fillId="3" borderId="37" xfId="0" applyFont="1" applyFill="1" applyBorder="1"/>
    <xf numFmtId="178" fontId="1" fillId="0" borderId="0" xfId="2" applyNumberFormat="1" applyFont="1"/>
    <xf numFmtId="168" fontId="1" fillId="3" borderId="0" xfId="0" applyNumberFormat="1" applyFont="1" applyFill="1"/>
    <xf numFmtId="9" fontId="1" fillId="0" borderId="0" xfId="0" applyNumberFormat="1" applyFont="1"/>
    <xf numFmtId="9" fontId="1" fillId="0" borderId="0" xfId="2" applyFon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0" fontId="1" fillId="3" borderId="35" xfId="0" applyFont="1" applyFill="1" applyBorder="1" applyAlignment="1">
      <alignment horizontal="left"/>
    </xf>
    <xf numFmtId="0" fontId="1" fillId="3" borderId="38" xfId="0" applyFont="1" applyFill="1" applyBorder="1" applyAlignment="1">
      <alignment horizontal="left"/>
    </xf>
    <xf numFmtId="4" fontId="1" fillId="0" borderId="0" xfId="0" applyNumberFormat="1" applyFont="1"/>
    <xf numFmtId="1" fontId="1" fillId="0" borderId="0" xfId="0" applyNumberFormat="1" applyFont="1"/>
  </cellXfs>
  <cellStyles count="4">
    <cellStyle name="Comma" xfId="1" builtinId="3"/>
    <cellStyle name="Normal" xfId="0" builtinId="0"/>
    <cellStyle name="Normal_factsheet01" xfId="3" xr:uid="{00000000-0005-0000-0000-000006000000}"/>
    <cellStyle name="Percent" xfId="2" builtinId="5"/>
  </cellStyles>
  <dxfs count="2">
    <dxf>
      <font>
        <color rgb="FF006100"/>
      </font>
      <fill>
        <patternFill>
          <bgColor rgb="FF92D050"/>
        </patternFill>
      </fill>
    </dxf>
    <dxf>
      <fill>
        <patternFill>
          <bgColor rgb="FFCC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F6B38"/>
      <rgbColor rgb="FFBFBFBF"/>
      <rgbColor rgb="FF808080"/>
      <rgbColor rgb="FF9999FF"/>
      <rgbColor rgb="FF993366"/>
      <rgbColor rgb="FFFFF2CC"/>
      <rgbColor rgb="FFCCFFFF"/>
      <rgbColor rgb="FF660066"/>
      <rgbColor rgb="FFFF4D6D"/>
      <rgbColor rgb="FF0066CC"/>
      <rgbColor rgb="FFFFD7DD"/>
      <rgbColor rgb="FF000080"/>
      <rgbColor rgb="FFFF00FF"/>
      <rgbColor rgb="FFFFFF00"/>
      <rgbColor rgb="FF00FFFF"/>
      <rgbColor rgb="FF800080"/>
      <rgbColor rgb="FF800000"/>
      <rgbColor rgb="FF008080"/>
      <rgbColor rgb="FF0000D4"/>
      <rgbColor rgb="FF00CCFF"/>
      <rgbColor rgb="FFC6EFCE"/>
      <rgbColor rgb="FFCCFFCC"/>
      <rgbColor rgb="FFFFF0CC"/>
      <rgbColor rgb="FFEEECE1"/>
      <rgbColor rgb="FFFAC090"/>
      <rgbColor rgb="FFF2F2F2"/>
      <rgbColor rgb="FFFFCC99"/>
      <rgbColor rgb="FF3366FF"/>
      <rgbColor rgb="FF33CCCC"/>
      <rgbColor rgb="FF92D050"/>
      <rgbColor rgb="FFFFCC00"/>
      <rgbColor rgb="FFF4A532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104760</xdr:colOff>
      <xdr:row>16</xdr:row>
      <xdr:rowOff>57240</xdr:rowOff>
    </xdr:from>
    <xdr:to>
      <xdr:col>2</xdr:col>
      <xdr:colOff>4528800</xdr:colOff>
      <xdr:row>23</xdr:row>
      <xdr:rowOff>18720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10080" y="3314880"/>
          <a:ext cx="5510880" cy="1094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8"/>
  <sheetViews>
    <sheetView zoomScaleNormal="100" workbookViewId="0">
      <selection activeCell="G10" sqref="G10"/>
    </sheetView>
  </sheetViews>
  <sheetFormatPr defaultColWidth="9.140625" defaultRowHeight="12.75" x14ac:dyDescent="0.2"/>
  <cols>
    <col min="1" max="1" width="11.42578125" customWidth="1"/>
    <col min="2" max="2" width="15.42578125" customWidth="1"/>
    <col min="3" max="3" width="69.28515625" customWidth="1"/>
    <col min="4" max="256" width="11.42578125" customWidth="1"/>
  </cols>
  <sheetData>
    <row r="1" spans="2:16" s="9" customFormat="1" ht="26.25" customHeight="1" x14ac:dyDescent="0.2">
      <c r="E1" s="10"/>
      <c r="F1" s="11"/>
    </row>
    <row r="2" spans="2:16" s="9" customFormat="1" ht="17.25" customHeight="1" x14ac:dyDescent="0.2">
      <c r="B2" s="12"/>
      <c r="C2" s="13" t="s">
        <v>0</v>
      </c>
    </row>
    <row r="3" spans="2:16" s="9" customFormat="1" ht="33" customHeight="1" x14ac:dyDescent="0.25">
      <c r="B3" s="14"/>
      <c r="C3" s="15" t="s">
        <v>1</v>
      </c>
      <c r="E3" s="11"/>
      <c r="F3" s="11"/>
      <c r="K3" s="16"/>
      <c r="L3" s="11"/>
      <c r="M3" s="11"/>
      <c r="N3" s="17"/>
      <c r="O3" s="11"/>
      <c r="P3" s="11"/>
    </row>
    <row r="4" spans="2:16" x14ac:dyDescent="0.2">
      <c r="B4" s="18"/>
      <c r="C4" s="19"/>
    </row>
    <row r="5" spans="2:16" x14ac:dyDescent="0.2">
      <c r="B5" s="18"/>
      <c r="C5" s="19"/>
    </row>
    <row r="6" spans="2:16" x14ac:dyDescent="0.2">
      <c r="B6" s="18" t="s">
        <v>2</v>
      </c>
      <c r="C6" s="20" t="s">
        <v>3</v>
      </c>
    </row>
    <row r="7" spans="2:16" x14ac:dyDescent="0.2">
      <c r="B7" s="18" t="s">
        <v>4</v>
      </c>
      <c r="C7" s="21" t="s">
        <v>5</v>
      </c>
    </row>
    <row r="8" spans="2:16" ht="25.5" customHeight="1" x14ac:dyDescent="0.2">
      <c r="B8" s="22" t="s">
        <v>6</v>
      </c>
      <c r="C8" s="20" t="s">
        <v>7</v>
      </c>
    </row>
    <row r="9" spans="2:16" x14ac:dyDescent="0.2">
      <c r="B9" s="22" t="s">
        <v>8</v>
      </c>
      <c r="C9" s="20">
        <v>2012.1</v>
      </c>
    </row>
    <row r="10" spans="2:16" x14ac:dyDescent="0.2">
      <c r="B10" s="18"/>
      <c r="C10" s="23"/>
    </row>
    <row r="11" spans="2:16" x14ac:dyDescent="0.2">
      <c r="B11" s="24" t="s">
        <v>9</v>
      </c>
      <c r="C11" s="23" t="s">
        <v>10</v>
      </c>
    </row>
    <row r="12" spans="2:16" ht="13.5" customHeight="1" x14ac:dyDescent="0.2">
      <c r="B12" s="25" t="s">
        <v>11</v>
      </c>
      <c r="C12" s="26"/>
    </row>
    <row r="13" spans="2:16" x14ac:dyDescent="0.2">
      <c r="B13" s="27" t="s">
        <v>12</v>
      </c>
      <c r="C13" s="28"/>
    </row>
    <row r="14" spans="2:16" x14ac:dyDescent="0.2">
      <c r="B14" s="29" t="s">
        <v>13</v>
      </c>
      <c r="C14" s="30"/>
    </row>
    <row r="15" spans="2:16" ht="13.5" customHeight="1" x14ac:dyDescent="0.2">
      <c r="B15" s="31" t="s">
        <v>14</v>
      </c>
      <c r="C15" s="32"/>
    </row>
    <row r="16" spans="2:16" x14ac:dyDescent="0.2">
      <c r="B16" s="18"/>
      <c r="C16" s="19"/>
    </row>
    <row r="17" spans="2:3" x14ac:dyDescent="0.2">
      <c r="B17" s="18"/>
      <c r="C17" s="19"/>
    </row>
    <row r="18" spans="2:3" x14ac:dyDescent="0.2">
      <c r="B18" s="18"/>
      <c r="C18" s="19"/>
    </row>
    <row r="19" spans="2:3" x14ac:dyDescent="0.2">
      <c r="B19" s="18"/>
      <c r="C19" s="19"/>
    </row>
    <row r="20" spans="2:3" x14ac:dyDescent="0.2">
      <c r="B20" s="18"/>
      <c r="C20" s="19"/>
    </row>
    <row r="21" spans="2:3" x14ac:dyDescent="0.2">
      <c r="B21" s="18"/>
      <c r="C21" s="19"/>
    </row>
    <row r="22" spans="2:3" x14ac:dyDescent="0.2">
      <c r="B22" s="18"/>
      <c r="C22" s="19"/>
    </row>
    <row r="23" spans="2:3" x14ac:dyDescent="0.2">
      <c r="B23" s="18"/>
      <c r="C23" s="19"/>
    </row>
    <row r="24" spans="2:3" x14ac:dyDescent="0.2">
      <c r="B24" s="18"/>
      <c r="C24" s="19"/>
    </row>
    <row r="25" spans="2:3" x14ac:dyDescent="0.2">
      <c r="B25" s="18"/>
      <c r="C25" s="19"/>
    </row>
    <row r="26" spans="2:3" x14ac:dyDescent="0.2">
      <c r="B26" s="18"/>
      <c r="C26" s="19"/>
    </row>
    <row r="27" spans="2:3" x14ac:dyDescent="0.2">
      <c r="B27" s="18"/>
      <c r="C27" s="19"/>
    </row>
    <row r="28" spans="2:3" ht="13.5" customHeight="1" x14ac:dyDescent="0.2">
      <c r="B28" s="33"/>
      <c r="C28" s="34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4"/>
  <sheetViews>
    <sheetView tabSelected="1" topLeftCell="A74" zoomScale="86" zoomScaleNormal="86" workbookViewId="0">
      <selection activeCell="D97" sqref="D97"/>
    </sheetView>
  </sheetViews>
  <sheetFormatPr defaultColWidth="8.85546875" defaultRowHeight="12.75" x14ac:dyDescent="0.2"/>
  <cols>
    <col min="1" max="1" width="0.85546875" customWidth="1"/>
    <col min="2" max="2" width="38" customWidth="1"/>
    <col min="3" max="3" width="4" customWidth="1"/>
    <col min="4" max="5" width="22" style="35" customWidth="1"/>
    <col min="6" max="6" width="22" customWidth="1"/>
    <col min="7" max="7" width="22" style="35" customWidth="1"/>
    <col min="8" max="8" width="10" customWidth="1"/>
    <col min="9" max="9" width="38" customWidth="1"/>
    <col min="10" max="10" width="30.85546875" customWidth="1"/>
    <col min="11" max="11" width="11.42578125" customWidth="1"/>
    <col min="12" max="12" width="12" customWidth="1"/>
  </cols>
  <sheetData>
    <row r="1" spans="1:18" s="36" customFormat="1" ht="18.75" customHeight="1" x14ac:dyDescent="0.25">
      <c r="A1" s="36" t="str">
        <f>Colofon!C2</f>
        <v>Calculation of LCOE of renewable heat and electricity</v>
      </c>
      <c r="D1" s="37"/>
      <c r="E1" s="37"/>
      <c r="G1" s="37"/>
    </row>
    <row r="2" spans="1:18" s="38" customFormat="1" ht="24" customHeight="1" x14ac:dyDescent="0.35">
      <c r="A2" s="38" t="str">
        <f>Colofon!C3</f>
        <v>Geothermal electricity and heat</v>
      </c>
      <c r="B2" s="38" t="s">
        <v>15</v>
      </c>
      <c r="D2" s="39"/>
      <c r="E2" s="40" t="s">
        <v>16</v>
      </c>
      <c r="F2" s="41"/>
      <c r="G2" s="42" t="s">
        <v>17</v>
      </c>
      <c r="J2" s="38" t="s">
        <v>18</v>
      </c>
    </row>
    <row r="3" spans="1:18" ht="13.5" customHeight="1" x14ac:dyDescent="0.2">
      <c r="J3" s="43" t="s">
        <v>19</v>
      </c>
      <c r="K3" s="43" t="s">
        <v>20</v>
      </c>
      <c r="L3" s="43" t="s">
        <v>21</v>
      </c>
    </row>
    <row r="4" spans="1:18" x14ac:dyDescent="0.2">
      <c r="B4" s="44" t="s">
        <v>22</v>
      </c>
      <c r="C4" s="45" t="s">
        <v>23</v>
      </c>
      <c r="D4" s="46" t="s">
        <v>20</v>
      </c>
      <c r="E4" s="46" t="s">
        <v>21</v>
      </c>
      <c r="F4" s="8" t="s">
        <v>24</v>
      </c>
      <c r="G4" s="8"/>
      <c r="H4" s="8"/>
      <c r="J4" s="47" t="s">
        <v>25</v>
      </c>
      <c r="K4" s="48">
        <v>4250</v>
      </c>
      <c r="L4" s="49" t="s">
        <v>26</v>
      </c>
      <c r="Q4" s="50"/>
      <c r="R4" s="50"/>
    </row>
    <row r="5" spans="1:18" ht="16.5" customHeight="1" x14ac:dyDescent="0.25">
      <c r="B5" s="51" t="s">
        <v>27</v>
      </c>
      <c r="C5" s="47">
        <v>1</v>
      </c>
      <c r="D5" s="52">
        <v>70</v>
      </c>
      <c r="E5" s="49" t="s">
        <v>28</v>
      </c>
      <c r="F5" s="7" t="s">
        <v>29</v>
      </c>
      <c r="G5" s="7"/>
      <c r="H5" s="7"/>
      <c r="J5" s="54" t="s">
        <v>30</v>
      </c>
      <c r="K5" s="55">
        <v>1078</v>
      </c>
      <c r="L5" s="49" t="s">
        <v>31</v>
      </c>
      <c r="R5" s="56"/>
    </row>
    <row r="6" spans="1:18" ht="16.5" customHeight="1" x14ac:dyDescent="0.25">
      <c r="B6" s="51" t="s">
        <v>32</v>
      </c>
      <c r="C6" s="47">
        <v>1</v>
      </c>
      <c r="D6" s="52">
        <v>1800</v>
      </c>
      <c r="E6" s="49" t="s">
        <v>33</v>
      </c>
      <c r="F6" s="47" t="s">
        <v>34</v>
      </c>
      <c r="G6" s="47"/>
      <c r="H6" s="57"/>
      <c r="J6" s="54"/>
      <c r="K6" s="55"/>
      <c r="L6" s="49"/>
      <c r="R6" s="56"/>
    </row>
    <row r="7" spans="1:18" x14ac:dyDescent="0.2">
      <c r="A7" s="50"/>
      <c r="B7" s="51" t="s">
        <v>35</v>
      </c>
      <c r="C7" s="47">
        <v>1</v>
      </c>
      <c r="D7" s="52">
        <v>10</v>
      </c>
      <c r="E7" s="49" t="s">
        <v>36</v>
      </c>
      <c r="F7" s="6" t="s">
        <v>37</v>
      </c>
      <c r="G7" s="6"/>
      <c r="H7" s="6"/>
      <c r="J7" s="47" t="s">
        <v>38</v>
      </c>
      <c r="K7" s="55">
        <v>1000</v>
      </c>
      <c r="L7" s="49" t="s">
        <v>26</v>
      </c>
      <c r="R7" s="56"/>
    </row>
    <row r="8" spans="1:18" ht="16.5" customHeight="1" x14ac:dyDescent="0.25">
      <c r="B8" s="51" t="s">
        <v>39</v>
      </c>
      <c r="C8" s="47">
        <v>1</v>
      </c>
      <c r="D8" s="52">
        <f>2.7*31+Ts</f>
        <v>93.7</v>
      </c>
      <c r="E8" s="49" t="s">
        <v>36</v>
      </c>
      <c r="F8" s="47" t="s">
        <v>40</v>
      </c>
      <c r="G8" s="47"/>
      <c r="H8" s="57"/>
      <c r="J8" s="54" t="s">
        <v>41</v>
      </c>
      <c r="K8" s="55">
        <v>2700</v>
      </c>
      <c r="L8" s="49" t="s">
        <v>31</v>
      </c>
      <c r="R8" s="56"/>
    </row>
    <row r="9" spans="1:18" ht="15.75" customHeight="1" x14ac:dyDescent="0.2">
      <c r="B9" s="51" t="s">
        <v>42</v>
      </c>
      <c r="C9" s="47">
        <v>1</v>
      </c>
      <c r="D9" s="58">
        <v>15</v>
      </c>
      <c r="E9" s="49" t="s">
        <v>43</v>
      </c>
      <c r="F9" s="5" t="s">
        <v>44</v>
      </c>
      <c r="G9" s="5"/>
      <c r="H9" s="5"/>
      <c r="R9" s="56"/>
    </row>
    <row r="10" spans="1:18" ht="15.75" customHeight="1" x14ac:dyDescent="0.25">
      <c r="B10" s="60" t="s">
        <v>45</v>
      </c>
      <c r="C10" s="61"/>
      <c r="D10" s="62"/>
      <c r="E10" s="63"/>
      <c r="F10" s="64"/>
      <c r="G10" s="63"/>
      <c r="H10" s="65"/>
      <c r="J10" s="66" t="s">
        <v>46</v>
      </c>
      <c r="K10" s="67"/>
      <c r="L10" s="68"/>
      <c r="R10" s="56"/>
    </row>
    <row r="11" spans="1:18" x14ac:dyDescent="0.2">
      <c r="B11" s="69" t="s">
        <v>47</v>
      </c>
      <c r="C11" s="70">
        <v>1</v>
      </c>
      <c r="D11" s="71">
        <v>1.5</v>
      </c>
      <c r="E11" s="72" t="str">
        <f>"-"</f>
        <v>-</v>
      </c>
      <c r="F11" s="70" t="s">
        <v>48</v>
      </c>
      <c r="G11" s="70"/>
      <c r="H11" s="53"/>
      <c r="J11" s="47" t="s">
        <v>49</v>
      </c>
      <c r="K11" s="73">
        <v>0.6</v>
      </c>
      <c r="L11" s="72" t="str">
        <f>"-"</f>
        <v>-</v>
      </c>
      <c r="R11" s="56"/>
    </row>
    <row r="12" spans="1:18" x14ac:dyDescent="0.2">
      <c r="B12" s="51" t="s">
        <v>50</v>
      </c>
      <c r="C12" s="47">
        <v>1</v>
      </c>
      <c r="D12" s="74">
        <f>wellcostscaling*(0.2*depth^2+700*depth+250000)*10^-6</f>
        <v>3.2369999999999997</v>
      </c>
      <c r="E12" s="49" t="s">
        <v>51</v>
      </c>
      <c r="F12" s="47" t="s">
        <v>52</v>
      </c>
      <c r="G12" s="47"/>
      <c r="H12" s="57"/>
      <c r="J12" s="47" t="s">
        <v>53</v>
      </c>
      <c r="K12" s="75">
        <f>(Tx-Ts)/(Tx+Ts+2*273.15)*K11</f>
        <v>7.7261538461538465E-2</v>
      </c>
      <c r="L12" s="72" t="str">
        <f>"-"</f>
        <v>-</v>
      </c>
      <c r="R12" s="56"/>
    </row>
    <row r="13" spans="1:18" ht="14.25" customHeight="1" x14ac:dyDescent="0.2">
      <c r="B13" s="51" t="s">
        <v>54</v>
      </c>
      <c r="C13" s="47">
        <v>1</v>
      </c>
      <c r="D13" s="76">
        <v>0</v>
      </c>
      <c r="E13" s="49" t="s">
        <v>51</v>
      </c>
      <c r="F13" s="47" t="s">
        <v>55</v>
      </c>
      <c r="G13" s="47"/>
      <c r="H13" s="57"/>
      <c r="J13" s="77" t="s">
        <v>56</v>
      </c>
      <c r="K13" s="55">
        <v>70</v>
      </c>
      <c r="L13" s="49" t="s">
        <v>36</v>
      </c>
      <c r="R13" s="56"/>
    </row>
    <row r="14" spans="1:18" ht="16.5" customHeight="1" x14ac:dyDescent="0.2">
      <c r="B14" s="51" t="s">
        <v>57</v>
      </c>
      <c r="C14" s="47">
        <v>1</v>
      </c>
      <c r="D14" s="55">
        <v>0.3</v>
      </c>
      <c r="E14" s="49" t="s">
        <v>58</v>
      </c>
      <c r="F14" s="6" t="s">
        <v>59</v>
      </c>
      <c r="G14" s="6"/>
      <c r="H14" s="6"/>
      <c r="J14" s="77" t="s">
        <v>60</v>
      </c>
      <c r="K14" s="74">
        <f>IF(ooperation_choice="heat",Tx,MIN(Ts+K13,Tx))</f>
        <v>93.7</v>
      </c>
      <c r="L14" s="49" t="s">
        <v>36</v>
      </c>
      <c r="R14" s="56"/>
    </row>
    <row r="15" spans="1:18" ht="13.5" customHeight="1" x14ac:dyDescent="0.2">
      <c r="B15" s="51" t="s">
        <v>61</v>
      </c>
      <c r="C15" s="47">
        <v>1</v>
      </c>
      <c r="D15" s="55">
        <v>2</v>
      </c>
      <c r="E15" s="49" t="str">
        <f>"-"</f>
        <v>-</v>
      </c>
      <c r="F15" s="47" t="s">
        <v>62</v>
      </c>
      <c r="G15" s="47"/>
      <c r="H15" s="57"/>
      <c r="J15" s="78"/>
      <c r="K15" s="79"/>
      <c r="L15" s="80"/>
      <c r="R15" s="56"/>
    </row>
    <row r="16" spans="1:18" ht="15.75" customHeight="1" x14ac:dyDescent="0.25">
      <c r="B16" s="81" t="s">
        <v>63</v>
      </c>
      <c r="C16" s="82">
        <v>1</v>
      </c>
      <c r="D16" s="83">
        <f>(StimCosts+DrillCosts)*nrofwells+pumpcost2</f>
        <v>6.7739999999999991</v>
      </c>
      <c r="E16" s="84" t="s">
        <v>64</v>
      </c>
      <c r="F16" s="82" t="s">
        <v>65</v>
      </c>
      <c r="G16" s="82"/>
      <c r="H16" s="59"/>
      <c r="J16" s="66" t="s">
        <v>66</v>
      </c>
      <c r="K16" s="67"/>
      <c r="L16" s="68"/>
      <c r="R16" s="56"/>
    </row>
    <row r="17" spans="2:18" x14ac:dyDescent="0.2">
      <c r="B17" s="85" t="s">
        <v>67</v>
      </c>
      <c r="C17" s="86"/>
      <c r="D17" s="87"/>
      <c r="E17" s="49"/>
      <c r="F17" s="47"/>
      <c r="G17" s="47"/>
      <c r="H17" s="57"/>
      <c r="J17" s="47" t="s">
        <v>68</v>
      </c>
      <c r="K17" s="73">
        <v>1</v>
      </c>
      <c r="L17" s="72" t="str">
        <f>"-"</f>
        <v>-</v>
      </c>
    </row>
    <row r="18" spans="2:18" x14ac:dyDescent="0.2">
      <c r="B18" s="85" t="s">
        <v>69</v>
      </c>
      <c r="C18" s="86"/>
      <c r="D18" s="87">
        <v>0</v>
      </c>
      <c r="E18" s="49" t="s">
        <v>70</v>
      </c>
      <c r="F18" s="47"/>
      <c r="G18" s="47"/>
      <c r="H18" s="57"/>
    </row>
    <row r="19" spans="2:18" ht="15.75" customHeight="1" x14ac:dyDescent="0.25">
      <c r="B19" s="85" t="s">
        <v>71</v>
      </c>
      <c r="C19" s="86"/>
      <c r="D19" s="87">
        <f>flowrate*0.001*D18*0.1/0.6</f>
        <v>0</v>
      </c>
      <c r="E19" s="49" t="s">
        <v>72</v>
      </c>
      <c r="F19" s="47"/>
      <c r="G19" s="47"/>
      <c r="H19" s="57"/>
      <c r="J19" s="66" t="s">
        <v>73</v>
      </c>
    </row>
    <row r="20" spans="2:18" x14ac:dyDescent="0.2">
      <c r="B20" s="69" t="s">
        <v>74</v>
      </c>
      <c r="C20" s="70">
        <v>1</v>
      </c>
      <c r="D20" s="88">
        <v>27</v>
      </c>
      <c r="E20" s="72" t="str">
        <f>"-"</f>
        <v>-</v>
      </c>
      <c r="F20" s="70" t="s">
        <v>75</v>
      </c>
      <c r="G20" s="70"/>
      <c r="H20" s="53"/>
      <c r="J20" s="89" t="s">
        <v>76</v>
      </c>
      <c r="K20" s="90">
        <f>60*60*24*365.25</f>
        <v>31557600</v>
      </c>
      <c r="L20" s="49" t="s">
        <v>77</v>
      </c>
      <c r="R20" s="56"/>
    </row>
    <row r="21" spans="2:18" x14ac:dyDescent="0.2">
      <c r="B21" s="51" t="s">
        <v>78</v>
      </c>
      <c r="C21" s="47">
        <v>1</v>
      </c>
      <c r="D21" s="55">
        <v>150</v>
      </c>
      <c r="E21" s="49" t="s">
        <v>79</v>
      </c>
      <c r="F21" s="47" t="s">
        <v>80</v>
      </c>
      <c r="G21" s="47"/>
      <c r="H21" s="57"/>
      <c r="J21" s="89" t="s">
        <v>81</v>
      </c>
      <c r="K21" s="90">
        <f>K20*30</f>
        <v>946728000</v>
      </c>
      <c r="L21" s="49" t="s">
        <v>77</v>
      </c>
    </row>
    <row r="22" spans="2:18" ht="15.75" customHeight="1" x14ac:dyDescent="0.25">
      <c r="B22" s="81" t="s">
        <v>82</v>
      </c>
      <c r="C22" s="82">
        <v>1</v>
      </c>
      <c r="D22" s="91">
        <f>D21/D20</f>
        <v>5.5555555555555554</v>
      </c>
      <c r="E22" s="84" t="s">
        <v>83</v>
      </c>
      <c r="F22" s="5" t="s">
        <v>84</v>
      </c>
      <c r="G22" s="5"/>
      <c r="H22" s="5"/>
      <c r="J22" s="66" t="s">
        <v>85</v>
      </c>
      <c r="K22" s="92"/>
      <c r="L22" s="68"/>
    </row>
    <row r="23" spans="2:18" x14ac:dyDescent="0.2">
      <c r="B23" s="85" t="s">
        <v>86</v>
      </c>
      <c r="C23" s="86"/>
      <c r="D23" s="93"/>
      <c r="E23" s="93"/>
      <c r="F23" s="89"/>
      <c r="G23" s="93"/>
      <c r="H23" s="94"/>
      <c r="J23" s="47" t="s">
        <v>87</v>
      </c>
      <c r="K23" s="55">
        <v>4.5</v>
      </c>
      <c r="L23" s="49" t="s">
        <v>88</v>
      </c>
    </row>
    <row r="24" spans="2:18" ht="14.25" customHeight="1" x14ac:dyDescent="0.2">
      <c r="B24" s="69" t="s">
        <v>89</v>
      </c>
      <c r="C24" s="70">
        <f>IF(ooperation_choice="power",0,1)</f>
        <v>1</v>
      </c>
      <c r="D24" s="95">
        <v>0</v>
      </c>
      <c r="E24" s="72" t="s">
        <v>90</v>
      </c>
      <c r="F24" s="70" t="s">
        <v>91</v>
      </c>
      <c r="G24" s="70"/>
      <c r="H24" s="53"/>
      <c r="J24" s="47" t="s">
        <v>92</v>
      </c>
      <c r="K24" s="55">
        <v>100</v>
      </c>
      <c r="L24" s="49" t="s">
        <v>33</v>
      </c>
    </row>
    <row r="25" spans="2:18" x14ac:dyDescent="0.2">
      <c r="B25" s="81" t="s">
        <v>93</v>
      </c>
      <c r="C25" s="82">
        <f>IF(ooperation_choice="heat",0,1)</f>
        <v>0</v>
      </c>
      <c r="D25" s="96">
        <f>IF(ooperation_choice="power-coheat",Tbase+D24*(Tx-Tbase),Tbase)</f>
        <v>93.7</v>
      </c>
      <c r="E25" s="84" t="s">
        <v>36</v>
      </c>
      <c r="F25" s="82" t="s">
        <v>94</v>
      </c>
      <c r="G25" s="82"/>
      <c r="H25" s="59"/>
      <c r="J25" s="47" t="s">
        <v>95</v>
      </c>
      <c r="K25" s="97">
        <f>K23*1000000*K24</f>
        <v>450000000</v>
      </c>
      <c r="L25" s="49" t="s">
        <v>96</v>
      </c>
    </row>
    <row r="26" spans="2:18" x14ac:dyDescent="0.2">
      <c r="B26" s="85" t="s">
        <v>97</v>
      </c>
      <c r="C26" s="86"/>
      <c r="D26" s="87"/>
      <c r="E26" s="49"/>
      <c r="F26" s="47"/>
      <c r="G26" s="47"/>
      <c r="H26" s="57"/>
      <c r="J26" s="47" t="s">
        <v>98</v>
      </c>
      <c r="K26" s="98">
        <f>(flowrate*0.001*Rhowater*Cpwater)/(K25*Rhorock*Cprock*(1/K21))</f>
        <v>0.24989333600000005</v>
      </c>
      <c r="L26" s="49"/>
    </row>
    <row r="27" spans="2:18" x14ac:dyDescent="0.2">
      <c r="B27" s="69" t="s">
        <v>99</v>
      </c>
      <c r="C27" s="70">
        <f>IF(ooperation_choice="heat",0,1)</f>
        <v>0</v>
      </c>
      <c r="D27" s="99">
        <f>flowrate*Cpwater*Rhowater*(Tx-toutlet)*10^-9</f>
        <v>0</v>
      </c>
      <c r="E27" s="72" t="s">
        <v>100</v>
      </c>
      <c r="F27" s="7" t="s">
        <v>101</v>
      </c>
      <c r="G27" s="7"/>
      <c r="H27" s="7"/>
    </row>
    <row r="28" spans="2:18" x14ac:dyDescent="0.2">
      <c r="B28" s="51" t="s">
        <v>102</v>
      </c>
      <c r="C28" s="47"/>
      <c r="D28" s="100">
        <f>D27*Efficiency</f>
        <v>0</v>
      </c>
      <c r="E28" s="49" t="s">
        <v>72</v>
      </c>
      <c r="F28" s="6" t="s">
        <v>101</v>
      </c>
      <c r="G28" s="6"/>
      <c r="H28" s="6"/>
      <c r="M28" s="50"/>
    </row>
    <row r="29" spans="2:18" ht="15.75" customHeight="1" x14ac:dyDescent="0.2">
      <c r="B29" s="51" t="s">
        <v>103</v>
      </c>
      <c r="C29" s="47">
        <f t="shared" ref="C29:C37" si="0">IF(ooperation_choice="heat",0,1)</f>
        <v>0</v>
      </c>
      <c r="D29" s="76">
        <v>8000</v>
      </c>
      <c r="E29" s="49" t="s">
        <v>104</v>
      </c>
      <c r="F29" s="47" t="s">
        <v>105</v>
      </c>
      <c r="G29" s="47"/>
      <c r="H29" s="57"/>
      <c r="J29" s="43"/>
      <c r="M29" s="50"/>
    </row>
    <row r="30" spans="2:18" x14ac:dyDescent="0.2">
      <c r="B30" s="51" t="s">
        <v>106</v>
      </c>
      <c r="C30" s="47">
        <f t="shared" si="0"/>
        <v>0</v>
      </c>
      <c r="D30" s="101">
        <v>3</v>
      </c>
      <c r="E30" s="49" t="str">
        <f>"mln Euro/" &amp;E28</f>
        <v>mln Euro/MWe</v>
      </c>
      <c r="F30" s="6" t="s">
        <v>107</v>
      </c>
      <c r="G30" s="6"/>
      <c r="H30" s="6"/>
      <c r="J30" s="50"/>
      <c r="M30" s="102"/>
    </row>
    <row r="31" spans="2:18" x14ac:dyDescent="0.2">
      <c r="B31" s="51" t="s">
        <v>108</v>
      </c>
      <c r="C31" s="47">
        <f t="shared" si="0"/>
        <v>0</v>
      </c>
      <c r="D31" s="58">
        <v>5000</v>
      </c>
      <c r="E31" s="49" t="s">
        <v>33</v>
      </c>
      <c r="F31" s="47" t="s">
        <v>109</v>
      </c>
      <c r="G31" s="47"/>
      <c r="H31" s="57"/>
      <c r="J31" s="50"/>
      <c r="M31" s="102"/>
    </row>
    <row r="32" spans="2:18" x14ac:dyDescent="0.2">
      <c r="B32" s="51" t="s">
        <v>110</v>
      </c>
      <c r="C32" s="47">
        <f t="shared" si="0"/>
        <v>0</v>
      </c>
      <c r="D32" s="55">
        <v>80</v>
      </c>
      <c r="E32" s="49" t="s">
        <v>111</v>
      </c>
      <c r="F32" s="47" t="s">
        <v>112</v>
      </c>
      <c r="G32" s="47"/>
      <c r="H32" s="57"/>
      <c r="J32" s="50"/>
      <c r="M32" s="102"/>
    </row>
    <row r="33" spans="2:15" x14ac:dyDescent="0.2">
      <c r="B33" s="51" t="s">
        <v>113</v>
      </c>
      <c r="C33" s="47">
        <f t="shared" si="0"/>
        <v>0</v>
      </c>
      <c r="D33" s="55">
        <v>100</v>
      </c>
      <c r="E33" s="49" t="s">
        <v>114</v>
      </c>
      <c r="F33" s="47" t="s">
        <v>115</v>
      </c>
      <c r="G33" s="47"/>
      <c r="H33" s="57"/>
    </row>
    <row r="34" spans="2:15" x14ac:dyDescent="0.2">
      <c r="B34" s="51" t="s">
        <v>116</v>
      </c>
      <c r="C34" s="47">
        <f t="shared" si="0"/>
        <v>0</v>
      </c>
      <c r="D34" s="103">
        <f>IF(Power&gt;0,Power*PlantInvest+GridInvest*Power*0.001+DistanceToGrid*GridConVar*0.000001,0)</f>
        <v>0</v>
      </c>
      <c r="E34" s="49" t="s">
        <v>117</v>
      </c>
      <c r="F34" s="47" t="s">
        <v>118</v>
      </c>
      <c r="G34" s="47"/>
      <c r="H34" s="57"/>
      <c r="O34" s="104"/>
    </row>
    <row r="35" spans="2:15" x14ac:dyDescent="0.2">
      <c r="B35" s="51" t="s">
        <v>119</v>
      </c>
      <c r="C35" s="47">
        <f t="shared" si="0"/>
        <v>0</v>
      </c>
      <c r="D35" s="105">
        <v>0.01</v>
      </c>
      <c r="E35" s="49" t="s">
        <v>90</v>
      </c>
      <c r="F35" s="47" t="s">
        <v>120</v>
      </c>
      <c r="G35" s="47"/>
      <c r="H35" s="57"/>
      <c r="O35" s="104"/>
    </row>
    <row r="36" spans="2:15" x14ac:dyDescent="0.2">
      <c r="B36" s="51" t="s">
        <v>121</v>
      </c>
      <c r="C36" s="47">
        <f t="shared" si="0"/>
        <v>0</v>
      </c>
      <c r="D36" s="74">
        <f>fixedOMrate*(capex_power+capex_subsurface)*100</f>
        <v>6.7739999999999991</v>
      </c>
      <c r="E36" s="49" t="str">
        <f>"kEuro/" &amp;E28</f>
        <v>kEuro/MWe</v>
      </c>
      <c r="F36" s="6" t="s">
        <v>122</v>
      </c>
      <c r="G36" s="6"/>
      <c r="H36" s="6"/>
      <c r="O36" s="104"/>
    </row>
    <row r="37" spans="2:15" ht="12.75" customHeight="1" x14ac:dyDescent="0.2">
      <c r="B37" s="81" t="s">
        <v>123</v>
      </c>
      <c r="C37" s="82">
        <f t="shared" si="0"/>
        <v>0</v>
      </c>
      <c r="D37" s="91">
        <f>D22/Efficiency</f>
        <v>71.905836541439882</v>
      </c>
      <c r="E37" s="84" t="s">
        <v>124</v>
      </c>
      <c r="F37" s="5" t="s">
        <v>125</v>
      </c>
      <c r="G37" s="5"/>
      <c r="H37" s="5"/>
      <c r="O37" s="104"/>
    </row>
    <row r="38" spans="2:15" x14ac:dyDescent="0.2">
      <c r="B38" s="85" t="s">
        <v>126</v>
      </c>
      <c r="C38" s="86"/>
      <c r="D38" s="87"/>
      <c r="E38" s="49"/>
      <c r="F38" s="47"/>
      <c r="G38" s="47"/>
      <c r="H38" s="57"/>
      <c r="O38" s="104"/>
    </row>
    <row r="39" spans="2:15" x14ac:dyDescent="0.2">
      <c r="B39" s="69" t="s">
        <v>127</v>
      </c>
      <c r="C39" s="70">
        <f t="shared" ref="C39:C45" si="1">IF(ooperation_choice="power",0,1)</f>
        <v>1</v>
      </c>
      <c r="D39" s="106">
        <v>30</v>
      </c>
      <c r="E39" s="72" t="s">
        <v>36</v>
      </c>
      <c r="F39" s="70" t="s">
        <v>128</v>
      </c>
      <c r="G39" s="70"/>
      <c r="H39" s="53"/>
      <c r="O39" s="104"/>
    </row>
    <row r="40" spans="2:15" x14ac:dyDescent="0.2">
      <c r="B40" s="51" t="s">
        <v>129</v>
      </c>
      <c r="C40" s="47">
        <f t="shared" si="1"/>
        <v>1</v>
      </c>
      <c r="D40" s="107">
        <f>IF(ooperation_choice="power",0,efficiencydirectheat*flowrate*Cpwater*Rhowater*(toutlet-Treinject)*10^-9)</f>
        <v>20.428908500000002</v>
      </c>
      <c r="E40" s="49" t="s">
        <v>100</v>
      </c>
      <c r="F40" s="47" t="s">
        <v>130</v>
      </c>
      <c r="G40" s="47"/>
      <c r="H40" s="57"/>
      <c r="O40" s="104"/>
    </row>
    <row r="41" spans="2:15" x14ac:dyDescent="0.2">
      <c r="B41" s="51" t="s">
        <v>131</v>
      </c>
      <c r="C41" s="47">
        <f t="shared" si="1"/>
        <v>1</v>
      </c>
      <c r="D41" s="55">
        <v>6000</v>
      </c>
      <c r="E41" s="49" t="s">
        <v>104</v>
      </c>
      <c r="F41" s="47" t="s">
        <v>132</v>
      </c>
      <c r="G41" s="47"/>
      <c r="H41" s="57"/>
      <c r="O41" s="104"/>
    </row>
    <row r="42" spans="2:15" x14ac:dyDescent="0.2">
      <c r="B42" s="51" t="s">
        <v>133</v>
      </c>
      <c r="C42" s="47">
        <f t="shared" si="1"/>
        <v>1</v>
      </c>
      <c r="D42" s="101">
        <v>150</v>
      </c>
      <c r="E42" s="49" t="s">
        <v>134</v>
      </c>
      <c r="F42" s="6" t="s">
        <v>135</v>
      </c>
      <c r="G42" s="6"/>
      <c r="H42" s="6"/>
      <c r="O42" s="104"/>
    </row>
    <row r="43" spans="2:15" x14ac:dyDescent="0.2">
      <c r="B43" s="51" t="s">
        <v>136</v>
      </c>
      <c r="C43" s="47">
        <f t="shared" si="1"/>
        <v>1</v>
      </c>
      <c r="D43" s="108">
        <f>D42*D40/1000</f>
        <v>3.0643362750000001</v>
      </c>
      <c r="E43" s="49" t="s">
        <v>117</v>
      </c>
      <c r="F43" s="47" t="s">
        <v>137</v>
      </c>
      <c r="G43" s="47"/>
      <c r="H43" s="57"/>
      <c r="O43" s="104"/>
    </row>
    <row r="44" spans="2:15" ht="13.5" customHeight="1" x14ac:dyDescent="0.2">
      <c r="B44" s="51" t="s">
        <v>138</v>
      </c>
      <c r="C44" s="47">
        <f t="shared" si="1"/>
        <v>1</v>
      </c>
      <c r="D44" s="105">
        <v>0.01</v>
      </c>
      <c r="E44" s="49" t="s">
        <v>90</v>
      </c>
      <c r="F44" s="47" t="s">
        <v>139</v>
      </c>
      <c r="G44" s="47"/>
      <c r="H44" s="57"/>
      <c r="O44" s="104"/>
    </row>
    <row r="45" spans="2:15" x14ac:dyDescent="0.2">
      <c r="B45" s="51" t="s">
        <v>140</v>
      </c>
      <c r="C45" s="47">
        <f t="shared" si="1"/>
        <v>1</v>
      </c>
      <c r="D45" s="74">
        <f>D44*(heat_capex+capex_subsurface)*100</f>
        <v>9.8383362749999996</v>
      </c>
      <c r="E45" s="49" t="s">
        <v>134</v>
      </c>
      <c r="F45" s="6" t="s">
        <v>141</v>
      </c>
      <c r="G45" s="6"/>
      <c r="H45" s="6"/>
      <c r="O45" s="104"/>
    </row>
    <row r="46" spans="2:15" x14ac:dyDescent="0.2">
      <c r="B46" s="81" t="s">
        <v>142</v>
      </c>
      <c r="C46" s="82">
        <f>IF(ooperation_choice="heat",1,0)</f>
        <v>1</v>
      </c>
      <c r="D46" s="91">
        <f>D22</f>
        <v>5.5555555555555554</v>
      </c>
      <c r="E46" s="84" t="s">
        <v>143</v>
      </c>
      <c r="F46" s="5" t="s">
        <v>144</v>
      </c>
      <c r="G46" s="5"/>
      <c r="H46" s="5"/>
      <c r="O46" s="104"/>
    </row>
    <row r="47" spans="2:15" x14ac:dyDescent="0.2">
      <c r="B47" s="109" t="s">
        <v>145</v>
      </c>
      <c r="C47" s="70"/>
      <c r="D47" s="72"/>
      <c r="E47" s="72"/>
      <c r="F47" s="110"/>
      <c r="G47" s="110"/>
      <c r="H47" s="111"/>
    </row>
    <row r="48" spans="2:15" x14ac:dyDescent="0.2">
      <c r="B48" s="69" t="s">
        <v>146</v>
      </c>
      <c r="C48" s="112">
        <f>1</f>
        <v>1</v>
      </c>
      <c r="D48" s="113">
        <v>0</v>
      </c>
      <c r="E48" s="72" t="s">
        <v>147</v>
      </c>
      <c r="F48" s="7" t="s">
        <v>148</v>
      </c>
      <c r="G48" s="7"/>
      <c r="H48" s="7"/>
    </row>
    <row r="49" spans="2:8" x14ac:dyDescent="0.2">
      <c r="B49" s="81" t="s">
        <v>149</v>
      </c>
      <c r="C49" s="82">
        <f>1</f>
        <v>1</v>
      </c>
      <c r="D49" s="114">
        <v>0</v>
      </c>
      <c r="E49" s="84" t="s">
        <v>150</v>
      </c>
      <c r="F49" s="82" t="s">
        <v>151</v>
      </c>
      <c r="G49" s="82"/>
      <c r="H49" s="59"/>
    </row>
    <row r="50" spans="2:8" x14ac:dyDescent="0.2">
      <c r="B50" s="85" t="s">
        <v>152</v>
      </c>
      <c r="C50" s="47"/>
      <c r="D50" s="49"/>
      <c r="E50" s="49"/>
      <c r="F50" s="115"/>
      <c r="G50" s="115"/>
      <c r="H50" s="116"/>
    </row>
    <row r="51" spans="2:8" x14ac:dyDescent="0.2">
      <c r="B51" s="69" t="s">
        <v>153</v>
      </c>
      <c r="C51" s="70">
        <v>1</v>
      </c>
      <c r="D51" s="117" t="s">
        <v>154</v>
      </c>
      <c r="E51" s="72" t="s">
        <v>155</v>
      </c>
      <c r="F51" s="110" t="s">
        <v>156</v>
      </c>
      <c r="G51" s="110"/>
      <c r="H51" s="111"/>
    </row>
    <row r="52" spans="2:8" x14ac:dyDescent="0.2">
      <c r="B52" s="51" t="s">
        <v>157</v>
      </c>
      <c r="C52" s="47">
        <v>1</v>
      </c>
      <c r="D52" s="105">
        <v>0</v>
      </c>
      <c r="E52" s="49" t="s">
        <v>90</v>
      </c>
      <c r="F52" s="6" t="s">
        <v>158</v>
      </c>
      <c r="G52" s="6"/>
      <c r="H52" s="6"/>
    </row>
    <row r="53" spans="2:8" x14ac:dyDescent="0.2">
      <c r="B53" s="51" t="s">
        <v>159</v>
      </c>
      <c r="C53" s="47">
        <v>1</v>
      </c>
      <c r="D53" s="118">
        <f>D52*151</f>
        <v>0</v>
      </c>
      <c r="E53" s="49" t="s">
        <v>117</v>
      </c>
      <c r="F53" s="6" t="s">
        <v>160</v>
      </c>
      <c r="G53" s="6"/>
      <c r="H53" s="6"/>
    </row>
    <row r="54" spans="2:8" x14ac:dyDescent="0.2">
      <c r="B54" s="81" t="s">
        <v>161</v>
      </c>
      <c r="C54" s="82">
        <v>1</v>
      </c>
      <c r="D54" s="119">
        <f>CFpower!C34/1000000</f>
        <v>0</v>
      </c>
      <c r="E54" s="84" t="s">
        <v>117</v>
      </c>
      <c r="F54" s="5" t="s">
        <v>162</v>
      </c>
      <c r="G54" s="5"/>
      <c r="H54" s="5"/>
    </row>
    <row r="55" spans="2:8" x14ac:dyDescent="0.2">
      <c r="B55" s="120"/>
      <c r="C55" s="112"/>
      <c r="D55" s="121"/>
      <c r="E55" s="63"/>
      <c r="F55" s="64"/>
      <c r="G55" s="63"/>
      <c r="H55" s="65"/>
    </row>
    <row r="56" spans="2:8" x14ac:dyDescent="0.2">
      <c r="B56" s="69" t="s">
        <v>163</v>
      </c>
      <c r="C56" s="47">
        <v>1</v>
      </c>
      <c r="D56" s="122">
        <v>0</v>
      </c>
      <c r="E56" s="49" t="s">
        <v>90</v>
      </c>
      <c r="F56" s="7" t="s">
        <v>164</v>
      </c>
      <c r="G56" s="7"/>
      <c r="H56" s="7"/>
    </row>
    <row r="57" spans="2:8" x14ac:dyDescent="0.2">
      <c r="B57" s="51" t="s">
        <v>165</v>
      </c>
      <c r="C57" s="47">
        <v>1</v>
      </c>
      <c r="D57" s="123">
        <v>0.06</v>
      </c>
      <c r="E57" s="49" t="s">
        <v>90</v>
      </c>
      <c r="F57" s="6" t="s">
        <v>166</v>
      </c>
      <c r="G57" s="6"/>
      <c r="H57" s="6"/>
    </row>
    <row r="58" spans="2:8" x14ac:dyDescent="0.2">
      <c r="B58" s="51" t="s">
        <v>167</v>
      </c>
      <c r="C58" s="47">
        <v>1</v>
      </c>
      <c r="D58" s="124">
        <v>0.15</v>
      </c>
      <c r="E58" s="49" t="s">
        <v>90</v>
      </c>
      <c r="F58" s="6" t="s">
        <v>168</v>
      </c>
      <c r="G58" s="6"/>
      <c r="H58" s="6"/>
    </row>
    <row r="59" spans="2:8" x14ac:dyDescent="0.2">
      <c r="B59" s="51" t="s">
        <v>169</v>
      </c>
      <c r="C59" s="47">
        <v>1</v>
      </c>
      <c r="D59" s="124">
        <v>0.2</v>
      </c>
      <c r="E59" s="49" t="s">
        <v>90</v>
      </c>
      <c r="F59" s="6" t="s">
        <v>170</v>
      </c>
      <c r="G59" s="6"/>
      <c r="H59" s="6"/>
    </row>
    <row r="60" spans="2:8" x14ac:dyDescent="0.2">
      <c r="B60" s="125" t="s">
        <v>171</v>
      </c>
      <c r="C60" s="126">
        <v>1</v>
      </c>
      <c r="D60" s="127">
        <f>1-D59</f>
        <v>0.8</v>
      </c>
      <c r="E60" s="49" t="s">
        <v>90</v>
      </c>
      <c r="F60" s="6" t="s">
        <v>172</v>
      </c>
      <c r="G60" s="6"/>
      <c r="H60" s="6"/>
    </row>
    <row r="61" spans="2:8" x14ac:dyDescent="0.2">
      <c r="B61" s="128" t="s">
        <v>173</v>
      </c>
      <c r="C61" s="129">
        <v>1</v>
      </c>
      <c r="D61" s="123">
        <v>0.25</v>
      </c>
      <c r="E61" s="49" t="s">
        <v>90</v>
      </c>
      <c r="F61" s="5" t="s">
        <v>174</v>
      </c>
      <c r="G61" s="5"/>
      <c r="H61" s="5"/>
    </row>
    <row r="62" spans="2:8" x14ac:dyDescent="0.2">
      <c r="B62" s="130"/>
      <c r="C62" s="131"/>
      <c r="D62" s="121"/>
      <c r="E62" s="63"/>
      <c r="F62" s="64"/>
      <c r="G62" s="63"/>
      <c r="H62" s="65"/>
    </row>
    <row r="63" spans="2:8" x14ac:dyDescent="0.2">
      <c r="B63" s="125" t="s">
        <v>175</v>
      </c>
      <c r="C63" s="126">
        <v>1</v>
      </c>
      <c r="D63" s="76">
        <v>15</v>
      </c>
      <c r="E63" s="49" t="s">
        <v>176</v>
      </c>
      <c r="F63" s="7" t="s">
        <v>177</v>
      </c>
      <c r="G63" s="7"/>
      <c r="H63" s="7"/>
    </row>
    <row r="64" spans="2:8" ht="13.5" customHeight="1" x14ac:dyDescent="0.2">
      <c r="B64" s="132" t="s">
        <v>178</v>
      </c>
      <c r="C64" s="133">
        <v>1</v>
      </c>
      <c r="D64" s="134">
        <v>15</v>
      </c>
      <c r="E64" s="135" t="s">
        <v>176</v>
      </c>
      <c r="F64" s="4" t="s">
        <v>179</v>
      </c>
      <c r="G64" s="4"/>
      <c r="H64" s="4"/>
    </row>
    <row r="65" spans="1:9" ht="13.5" customHeight="1" x14ac:dyDescent="0.2"/>
    <row r="66" spans="1:9" ht="13.5" customHeight="1" x14ac:dyDescent="0.2">
      <c r="B66" s="44" t="s">
        <v>180</v>
      </c>
      <c r="C66" s="45" t="s">
        <v>23</v>
      </c>
      <c r="D66" s="46" t="s">
        <v>20</v>
      </c>
      <c r="E66" s="136" t="s">
        <v>21</v>
      </c>
    </row>
    <row r="67" spans="1:9" ht="15.75" customHeight="1" x14ac:dyDescent="0.2">
      <c r="A67" s="137"/>
      <c r="B67" s="138" t="s">
        <v>181</v>
      </c>
      <c r="C67" s="139">
        <f>IF(ooperation_choice="heat",0,1)</f>
        <v>0</v>
      </c>
      <c r="D67" s="140">
        <f>IF(ooperation_choice="heat",0,100*(CFpower!C36-CFpower!D27)/CFpower!D28/100)</f>
        <v>0</v>
      </c>
      <c r="E67" s="141" t="s">
        <v>182</v>
      </c>
      <c r="G67" s="142"/>
    </row>
    <row r="68" spans="1:9" ht="13.5" customHeight="1" x14ac:dyDescent="0.2">
      <c r="A68" s="33"/>
      <c r="D68" s="143"/>
    </row>
    <row r="69" spans="1:9" x14ac:dyDescent="0.2">
      <c r="B69" s="44" t="s">
        <v>183</v>
      </c>
      <c r="C69" s="45"/>
      <c r="D69" s="46" t="s">
        <v>20</v>
      </c>
      <c r="E69" s="136" t="s">
        <v>21</v>
      </c>
      <c r="F69" s="50"/>
      <c r="G69" s="80"/>
    </row>
    <row r="70" spans="1:9" ht="15.75" customHeight="1" x14ac:dyDescent="0.2">
      <c r="B70" s="138" t="s">
        <v>181</v>
      </c>
      <c r="C70" s="139">
        <f>IF(ooperation_choice="heat",1,0)</f>
        <v>1</v>
      </c>
      <c r="D70" s="140">
        <f>IF(ooperation_choice="heat",100*(CFheat!C36-CFheat!D27)/CFheat!D28/100, 0)</f>
        <v>4.7997816275201792</v>
      </c>
      <c r="E70" s="141" t="s">
        <v>184</v>
      </c>
    </row>
    <row r="71" spans="1:9" x14ac:dyDescent="0.2">
      <c r="E71" s="35" t="s">
        <v>185</v>
      </c>
    </row>
    <row r="72" spans="1:9" x14ac:dyDescent="0.2">
      <c r="D72" s="80"/>
    </row>
    <row r="75" spans="1:9" ht="19.5" customHeight="1" x14ac:dyDescent="0.2">
      <c r="B75" s="3" t="s">
        <v>186</v>
      </c>
      <c r="C75" s="3"/>
      <c r="D75" s="3"/>
      <c r="E75" s="3"/>
      <c r="F75" s="3"/>
      <c r="G75" s="3"/>
    </row>
    <row r="76" spans="1:9" ht="15.75" customHeight="1" x14ac:dyDescent="0.2">
      <c r="B76" s="2" t="s">
        <v>187</v>
      </c>
      <c r="C76" s="2"/>
      <c r="D76" s="2"/>
      <c r="E76" s="2"/>
      <c r="F76" s="2"/>
      <c r="G76" s="2"/>
    </row>
    <row r="77" spans="1:9" ht="36" customHeight="1" x14ac:dyDescent="0.2">
      <c r="B77" s="144" t="s">
        <v>188</v>
      </c>
      <c r="D77" s="144" t="s">
        <v>189</v>
      </c>
      <c r="E77" s="144" t="s">
        <v>190</v>
      </c>
      <c r="F77" s="144" t="s">
        <v>191</v>
      </c>
      <c r="G77" s="144" t="s">
        <v>192</v>
      </c>
      <c r="H77" s="144" t="s">
        <v>21</v>
      </c>
      <c r="I77" s="144" t="s">
        <v>193</v>
      </c>
    </row>
    <row r="78" spans="1:9" ht="13.5" customHeight="1" x14ac:dyDescent="0.2">
      <c r="B78" s="1" t="s">
        <v>194</v>
      </c>
      <c r="C78" s="1"/>
      <c r="D78" s="1"/>
      <c r="E78" s="1"/>
      <c r="F78" s="1"/>
      <c r="G78" s="1"/>
      <c r="H78" s="1"/>
    </row>
    <row r="79" spans="1:9" ht="19.5" customHeight="1" x14ac:dyDescent="0.2">
      <c r="B79" s="145" t="s">
        <v>195</v>
      </c>
      <c r="D79" s="146">
        <v>7.0739999999999998</v>
      </c>
      <c r="E79" s="146">
        <v>7.0739999999999998</v>
      </c>
      <c r="F79" s="146">
        <v>7.0739999999999998</v>
      </c>
      <c r="G79" s="146">
        <v>7.0739999999999998</v>
      </c>
      <c r="H79" s="147" t="s">
        <v>196</v>
      </c>
      <c r="I79" s="148" t="s">
        <v>197</v>
      </c>
    </row>
    <row r="80" spans="1:9" ht="19.5" customHeight="1" x14ac:dyDescent="0.2">
      <c r="B80" s="145" t="s">
        <v>198</v>
      </c>
      <c r="D80" s="149">
        <f>Input_Output!$D$43</f>
        <v>3.0643362750000001</v>
      </c>
      <c r="E80" s="149">
        <f>Input_Output!$D$43</f>
        <v>3.0643362750000001</v>
      </c>
      <c r="F80" s="149">
        <f>Input_Output!$D$43</f>
        <v>3.0643362750000001</v>
      </c>
      <c r="G80" s="149">
        <f>Input_Output!$D$43</f>
        <v>3.0643362750000001</v>
      </c>
      <c r="H80" s="147" t="s">
        <v>196</v>
      </c>
      <c r="I80" s="148" t="s">
        <v>199</v>
      </c>
    </row>
    <row r="81" spans="2:9" ht="19.5" customHeight="1" x14ac:dyDescent="0.2">
      <c r="B81" s="150" t="s">
        <v>200</v>
      </c>
      <c r="D81" s="151">
        <v>0</v>
      </c>
      <c r="E81" s="151">
        <v>6</v>
      </c>
      <c r="F81" s="151">
        <v>3.75</v>
      </c>
      <c r="G81" s="151">
        <v>3.75</v>
      </c>
      <c r="H81" s="147" t="s">
        <v>196</v>
      </c>
      <c r="I81" s="148" t="s">
        <v>201</v>
      </c>
    </row>
    <row r="82" spans="2:9" ht="19.5" customHeight="1" x14ac:dyDescent="0.2">
      <c r="B82" s="150" t="s">
        <v>202</v>
      </c>
      <c r="D82" s="151">
        <v>0</v>
      </c>
      <c r="E82" s="151">
        <v>0</v>
      </c>
      <c r="F82" s="151">
        <v>12</v>
      </c>
      <c r="G82" s="151">
        <v>12</v>
      </c>
      <c r="H82" s="147" t="s">
        <v>196</v>
      </c>
      <c r="I82" s="148" t="s">
        <v>203</v>
      </c>
    </row>
    <row r="83" spans="2:9" ht="19.5" customHeight="1" x14ac:dyDescent="0.2">
      <c r="B83" s="150" t="s">
        <v>204</v>
      </c>
      <c r="D83" s="151">
        <v>0</v>
      </c>
      <c r="E83" s="151">
        <v>0</v>
      </c>
      <c r="F83" s="151">
        <v>0</v>
      </c>
      <c r="G83" s="151">
        <v>2.5</v>
      </c>
      <c r="H83" s="147" t="s">
        <v>196</v>
      </c>
      <c r="I83" s="148" t="s">
        <v>205</v>
      </c>
    </row>
    <row r="84" spans="2:9" ht="19.5" customHeight="1" x14ac:dyDescent="0.2">
      <c r="B84" s="152" t="s">
        <v>206</v>
      </c>
      <c r="D84" s="153">
        <f>D79+D80+D81+D82+D83</f>
        <v>10.138336275</v>
      </c>
      <c r="E84" s="153">
        <f>E79+E80+E81+E82+E83</f>
        <v>16.138336275</v>
      </c>
      <c r="F84" s="153">
        <f>F79+F80+F81+F82+F83</f>
        <v>25.888336275</v>
      </c>
      <c r="G84" s="153">
        <f>G79+G80+G81+G82+G83</f>
        <v>28.388336275</v>
      </c>
      <c r="H84" s="147" t="s">
        <v>196</v>
      </c>
      <c r="I84" s="148" t="s">
        <v>207</v>
      </c>
    </row>
    <row r="85" spans="2:9" ht="13.5" customHeight="1" x14ac:dyDescent="0.2">
      <c r="B85" s="1" t="s">
        <v>208</v>
      </c>
      <c r="C85" s="1"/>
      <c r="D85" s="1"/>
      <c r="E85" s="1"/>
      <c r="F85" s="1"/>
      <c r="G85" s="1"/>
      <c r="H85" s="1"/>
    </row>
    <row r="86" spans="2:9" ht="19.5" customHeight="1" x14ac:dyDescent="0.2">
      <c r="B86" s="145" t="s">
        <v>209</v>
      </c>
      <c r="D86" s="146">
        <f>Input_Output!$D$45</f>
        <v>9.8383362749999996</v>
      </c>
      <c r="E86" s="146">
        <f>Input_Output!$D$45</f>
        <v>9.8383362749999996</v>
      </c>
      <c r="F86" s="146">
        <f>Input_Output!$D$45</f>
        <v>9.8383362749999996</v>
      </c>
      <c r="G86" s="146">
        <f>Input_Output!$D$45</f>
        <v>9.8383362749999996</v>
      </c>
      <c r="H86" s="147" t="s">
        <v>210</v>
      </c>
      <c r="I86" s="148" t="s">
        <v>211</v>
      </c>
    </row>
    <row r="87" spans="2:9" ht="19.5" customHeight="1" x14ac:dyDescent="0.2">
      <c r="B87" s="145" t="s">
        <v>82</v>
      </c>
      <c r="D87" s="154">
        <v>5.556</v>
      </c>
      <c r="E87" s="154">
        <v>5.556</v>
      </c>
      <c r="F87" s="154">
        <v>5.556</v>
      </c>
      <c r="G87" s="154">
        <v>5.556</v>
      </c>
      <c r="H87" s="147" t="s">
        <v>212</v>
      </c>
      <c r="I87" s="148" t="s">
        <v>213</v>
      </c>
    </row>
    <row r="88" spans="2:9" ht="19.5" customHeight="1" x14ac:dyDescent="0.2">
      <c r="B88" s="145" t="s">
        <v>214</v>
      </c>
      <c r="D88" s="155">
        <v>300000</v>
      </c>
      <c r="E88" s="155">
        <v>300000</v>
      </c>
      <c r="F88" s="155">
        <v>300000</v>
      </c>
      <c r="G88" s="155">
        <v>300000</v>
      </c>
      <c r="H88" s="147" t="s">
        <v>215</v>
      </c>
      <c r="I88" s="148" t="s">
        <v>216</v>
      </c>
    </row>
    <row r="89" spans="2:9" ht="13.5" customHeight="1" x14ac:dyDescent="0.2">
      <c r="B89" s="1" t="s">
        <v>217</v>
      </c>
      <c r="C89" s="1"/>
      <c r="D89" s="1"/>
      <c r="E89" s="1"/>
      <c r="F89" s="1"/>
      <c r="G89" s="1"/>
      <c r="H89" s="1"/>
    </row>
    <row r="90" spans="2:9" ht="19.5" customHeight="1" x14ac:dyDescent="0.2">
      <c r="B90" s="145" t="s">
        <v>218</v>
      </c>
      <c r="D90" s="156">
        <f>Input_Output!$D$40</f>
        <v>20.428908500000002</v>
      </c>
      <c r="E90" s="156">
        <f>Input_Output!$D$40</f>
        <v>20.428908500000002</v>
      </c>
      <c r="F90" s="156">
        <f>Input_Output!$D$40</f>
        <v>20.428908500000002</v>
      </c>
      <c r="G90" s="156">
        <f>Input_Output!$D$40</f>
        <v>20.428908500000002</v>
      </c>
      <c r="H90" s="147" t="s">
        <v>100</v>
      </c>
      <c r="I90" s="148" t="s">
        <v>219</v>
      </c>
    </row>
    <row r="91" spans="2:9" ht="19.5" customHeight="1" x14ac:dyDescent="0.2">
      <c r="B91" s="150" t="s">
        <v>220</v>
      </c>
      <c r="D91" s="157">
        <v>0</v>
      </c>
      <c r="E91" s="157">
        <v>4</v>
      </c>
      <c r="F91" s="157">
        <v>2.5</v>
      </c>
      <c r="G91" s="157">
        <v>2.5</v>
      </c>
      <c r="H91" s="147" t="s">
        <v>100</v>
      </c>
      <c r="I91" s="148" t="s">
        <v>201</v>
      </c>
    </row>
    <row r="92" spans="2:9" ht="19.5" customHeight="1" x14ac:dyDescent="0.2">
      <c r="B92" s="150" t="s">
        <v>221</v>
      </c>
      <c r="D92" s="157">
        <v>0</v>
      </c>
      <c r="E92" s="157">
        <v>0</v>
      </c>
      <c r="F92" s="157">
        <v>0</v>
      </c>
      <c r="G92" s="157">
        <v>3</v>
      </c>
      <c r="H92" s="147" t="s">
        <v>100</v>
      </c>
      <c r="I92" s="148" t="s">
        <v>222</v>
      </c>
    </row>
    <row r="93" spans="2:9" ht="19.5" customHeight="1" x14ac:dyDescent="0.2">
      <c r="B93" s="145" t="s">
        <v>223</v>
      </c>
      <c r="D93" s="156">
        <f>IFERROR(D90+D91+D92,D90)</f>
        <v>20.428908500000002</v>
      </c>
      <c r="E93" s="156">
        <f>IFERROR(E90+E91+E92,E90)</f>
        <v>24.428908500000002</v>
      </c>
      <c r="F93" s="156">
        <f>IFERROR(F90+F91+F92,F90)</f>
        <v>22.928908500000002</v>
      </c>
      <c r="G93" s="156">
        <f>IFERROR(G90+G91+G92,G90)</f>
        <v>25.928908500000002</v>
      </c>
      <c r="H93" s="147" t="s">
        <v>100</v>
      </c>
      <c r="I93" s="148" t="s">
        <v>224</v>
      </c>
    </row>
    <row r="94" spans="2:9" ht="19.5" customHeight="1" x14ac:dyDescent="0.2">
      <c r="B94" s="145" t="s">
        <v>225</v>
      </c>
      <c r="D94" s="158">
        <f>Input_Output!$D$40*Input_Output!$D$41*3.6</f>
        <v>441264.42360000004</v>
      </c>
      <c r="E94" s="158">
        <f>Input_Output!$D$40*Input_Output!$D$41*3.6</f>
        <v>441264.42360000004</v>
      </c>
      <c r="F94" s="158">
        <f>Input_Output!$D$40*Input_Output!$D$41*3.6</f>
        <v>441264.42360000004</v>
      </c>
      <c r="G94" s="158">
        <f>Input_Output!$D$40*Input_Output!$D$41*3.6</f>
        <v>441264.42360000004</v>
      </c>
      <c r="H94" s="147" t="s">
        <v>226</v>
      </c>
      <c r="I94" s="148" t="s">
        <v>227</v>
      </c>
    </row>
    <row r="95" spans="2:9" ht="13.5" customHeight="1" x14ac:dyDescent="0.2">
      <c r="B95" s="1" t="s">
        <v>228</v>
      </c>
      <c r="C95" s="1"/>
      <c r="D95" s="1"/>
      <c r="E95" s="1"/>
      <c r="F95" s="1"/>
      <c r="G95" s="1"/>
      <c r="H95" s="1"/>
    </row>
    <row r="96" spans="2:9" ht="19.5" customHeight="1" x14ac:dyDescent="0.2">
      <c r="B96" s="145" t="s">
        <v>229</v>
      </c>
      <c r="D96" s="159">
        <v>6.6000000000000003E-2</v>
      </c>
      <c r="E96" s="159">
        <v>6.6000000000000003E-2</v>
      </c>
      <c r="F96" s="159">
        <v>6.6000000000000003E-2</v>
      </c>
      <c r="G96" s="159">
        <v>6.6000000000000003E-2</v>
      </c>
      <c r="H96" s="147" t="s">
        <v>90</v>
      </c>
      <c r="I96" s="148" t="s">
        <v>230</v>
      </c>
    </row>
    <row r="97" spans="2:9" ht="19.5" customHeight="1" x14ac:dyDescent="0.2">
      <c r="B97" s="150" t="s">
        <v>231</v>
      </c>
      <c r="D97" s="160">
        <v>97.76</v>
      </c>
      <c r="E97" s="160">
        <v>100</v>
      </c>
      <c r="F97" s="160">
        <v>100</v>
      </c>
      <c r="G97" s="160">
        <v>100</v>
      </c>
      <c r="H97" s="147" t="s">
        <v>90</v>
      </c>
      <c r="I97" s="148" t="s">
        <v>232</v>
      </c>
    </row>
    <row r="98" spans="2:9" ht="13.5" customHeight="1" x14ac:dyDescent="0.2">
      <c r="B98" s="1" t="s">
        <v>233</v>
      </c>
      <c r="C98" s="1"/>
      <c r="D98" s="1"/>
      <c r="E98" s="1"/>
      <c r="F98" s="1"/>
      <c r="G98" s="1"/>
      <c r="H98" s="1"/>
    </row>
    <row r="99" spans="2:9" ht="19.5" customHeight="1" x14ac:dyDescent="0.2">
      <c r="B99" s="150" t="s">
        <v>234</v>
      </c>
      <c r="D99" s="161">
        <v>3.9216000000000002</v>
      </c>
      <c r="E99" s="161">
        <v>4.8174000000000001</v>
      </c>
      <c r="F99" s="161">
        <v>7.5102000000000002</v>
      </c>
      <c r="G99" s="161">
        <v>8.0340000000000007</v>
      </c>
      <c r="H99" s="147" t="s">
        <v>235</v>
      </c>
      <c r="I99" s="148" t="s">
        <v>236</v>
      </c>
    </row>
    <row r="100" spans="2:9" ht="19.5" customHeight="1" x14ac:dyDescent="0.2">
      <c r="B100" s="152" t="s">
        <v>237</v>
      </c>
      <c r="D100" s="162">
        <f>D99*3.6</f>
        <v>14.117760000000001</v>
      </c>
      <c r="E100" s="162">
        <f>E99*3.6</f>
        <v>17.342639999999999</v>
      </c>
      <c r="F100" s="162">
        <f>F99*3.6</f>
        <v>27.036720000000003</v>
      </c>
      <c r="G100" s="162">
        <f>G99*3.6</f>
        <v>28.922400000000003</v>
      </c>
      <c r="H100" s="147" t="s">
        <v>212</v>
      </c>
      <c r="I100" s="148" t="s">
        <v>238</v>
      </c>
    </row>
    <row r="101" spans="2:9" ht="19.5" customHeight="1" x14ac:dyDescent="0.2">
      <c r="B101" s="150" t="s">
        <v>239</v>
      </c>
      <c r="D101" s="163">
        <v>525575</v>
      </c>
      <c r="E101" s="163">
        <v>577973</v>
      </c>
      <c r="F101" s="163">
        <v>563834</v>
      </c>
      <c r="G101" s="163">
        <v>559577</v>
      </c>
      <c r="H101" s="147" t="s">
        <v>240</v>
      </c>
      <c r="I101" s="148" t="s">
        <v>241</v>
      </c>
    </row>
    <row r="102" spans="2:9" ht="13.5" customHeight="1" x14ac:dyDescent="0.2">
      <c r="B102" s="1" t="s">
        <v>242</v>
      </c>
      <c r="C102" s="1"/>
      <c r="D102" s="1"/>
      <c r="E102" s="1"/>
      <c r="F102" s="1"/>
      <c r="G102" s="1"/>
      <c r="H102" s="1"/>
    </row>
    <row r="103" spans="2:9" ht="19.5" customHeight="1" x14ac:dyDescent="0.2">
      <c r="B103" s="164" t="s">
        <v>243</v>
      </c>
      <c r="D103" s="165" t="s">
        <v>244</v>
      </c>
      <c r="E103" s="166" t="s">
        <v>245</v>
      </c>
      <c r="F103" s="167" t="s">
        <v>246</v>
      </c>
      <c r="G103" s="165" t="s">
        <v>244</v>
      </c>
      <c r="I103" s="148" t="s">
        <v>247</v>
      </c>
    </row>
    <row r="104" spans="2:9" ht="19.5" customHeight="1" x14ac:dyDescent="0.2">
      <c r="B104" s="164" t="s">
        <v>248</v>
      </c>
      <c r="D104" s="168" t="s">
        <v>249</v>
      </c>
      <c r="E104" s="168" t="s">
        <v>250</v>
      </c>
      <c r="F104" s="168" t="s">
        <v>251</v>
      </c>
      <c r="G104" s="168" t="s">
        <v>252</v>
      </c>
    </row>
  </sheetData>
  <mergeCells count="34">
    <mergeCell ref="B89:H89"/>
    <mergeCell ref="B95:H95"/>
    <mergeCell ref="B98:H98"/>
    <mergeCell ref="B102:H102"/>
    <mergeCell ref="F64:H64"/>
    <mergeCell ref="B75:G75"/>
    <mergeCell ref="B76:G76"/>
    <mergeCell ref="B78:H78"/>
    <mergeCell ref="B85:H85"/>
    <mergeCell ref="F58:H58"/>
    <mergeCell ref="F59:H59"/>
    <mergeCell ref="F60:H60"/>
    <mergeCell ref="F61:H61"/>
    <mergeCell ref="F63:H63"/>
    <mergeCell ref="F52:H52"/>
    <mergeCell ref="F53:H53"/>
    <mergeCell ref="F54:H54"/>
    <mergeCell ref="F56:H56"/>
    <mergeCell ref="F57:H57"/>
    <mergeCell ref="F37:H37"/>
    <mergeCell ref="F42:H42"/>
    <mergeCell ref="F45:H45"/>
    <mergeCell ref="F46:H46"/>
    <mergeCell ref="F48:H48"/>
    <mergeCell ref="F22:H22"/>
    <mergeCell ref="F27:H27"/>
    <mergeCell ref="F28:H28"/>
    <mergeCell ref="F30:H30"/>
    <mergeCell ref="F36:H36"/>
    <mergeCell ref="F4:H4"/>
    <mergeCell ref="F5:H5"/>
    <mergeCell ref="F7:H7"/>
    <mergeCell ref="F9:H9"/>
    <mergeCell ref="F14:H14"/>
  </mergeCells>
  <conditionalFormatting sqref="C5:C64 C67 C70">
    <cfRule type="cellIs" dxfId="1" priority="2" operator="notEqual">
      <formula>1</formula>
    </cfRule>
    <cfRule type="cellIs" dxfId="0" priority="3" operator="equal">
      <formula>1</formula>
    </cfRule>
  </conditionalFormatting>
  <dataValidations count="3">
    <dataValidation type="list" allowBlank="1" showInputMessage="1" showErrorMessage="1" sqref="D51" xr:uid="{00000000-0002-0000-0100-000000000000}">
      <formula1>"yes,no"</formula1>
      <formula2>0</formula2>
    </dataValidation>
    <dataValidation type="list" allowBlank="1" showInputMessage="1" showErrorMessage="1" sqref="G2" xr:uid="{00000000-0002-0000-0100-000001000000}">
      <formula1>"power,power-coheat,heat"</formula1>
      <formula2>0</formula2>
    </dataValidation>
    <dataValidation type="decimal" allowBlank="1" showInputMessage="1" showErrorMessage="1" error="provide a fraction or percentage[0..99%]" sqref="D24" xr:uid="{00000000-0002-0000-0100-000002000000}">
      <formula1>0</formula1>
      <formula2>0.99</formula2>
    </dataValidation>
  </dataValidations>
  <pageMargins left="0.75" right="0.75" top="1" bottom="1" header="0.511811023622047" footer="0.5"/>
  <pageSetup paperSize="9" orientation="portrait" horizontalDpi="300" verticalDpi="300"/>
  <headerFooter>
    <oddFooter>&amp;L&amp;D&amp;RVersie  2003.1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41"/>
  <sheetViews>
    <sheetView zoomScaleNormal="100" workbookViewId="0">
      <selection activeCell="F11" sqref="F11"/>
    </sheetView>
  </sheetViews>
  <sheetFormatPr defaultColWidth="9.140625" defaultRowHeight="12.75" x14ac:dyDescent="0.2"/>
  <cols>
    <col min="1" max="1" width="11.42578125" style="50" customWidth="1"/>
    <col min="2" max="2" width="40.42578125" style="50" customWidth="1"/>
    <col min="3" max="3" width="29.28515625" style="50" customWidth="1"/>
    <col min="4" max="4" width="15.7109375" style="50" customWidth="1"/>
    <col min="5" max="5" width="12.7109375" style="50" customWidth="1"/>
    <col min="6" max="12" width="15.140625" style="50" customWidth="1"/>
    <col min="13" max="45" width="12.7109375" style="50" customWidth="1"/>
    <col min="46" max="256" width="11.42578125" style="50" customWidth="1"/>
    <col min="257" max="16384" width="9.140625" style="50"/>
  </cols>
  <sheetData>
    <row r="1" spans="1:45" s="36" customFormat="1" ht="18" customHeight="1" x14ac:dyDescent="0.25">
      <c r="A1" s="36" t="str">
        <f>Colofon!C2</f>
        <v>Calculation of LCOE of renewable heat and electricity</v>
      </c>
    </row>
    <row r="2" spans="1:45" s="38" customFormat="1" ht="23.25" customHeight="1" x14ac:dyDescent="0.35">
      <c r="A2" s="38" t="s">
        <v>253</v>
      </c>
    </row>
    <row r="3" spans="1:45" x14ac:dyDescent="0.2"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45" x14ac:dyDescent="0.2">
      <c r="A4" s="169"/>
      <c r="B4" s="170"/>
      <c r="C4" s="171" t="s">
        <v>176</v>
      </c>
      <c r="D4" s="171"/>
      <c r="E4" s="172">
        <v>0</v>
      </c>
      <c r="F4" s="172">
        <v>1</v>
      </c>
      <c r="G4" s="172">
        <v>2</v>
      </c>
      <c r="H4" s="172">
        <v>3</v>
      </c>
      <c r="I4" s="172">
        <v>4</v>
      </c>
      <c r="J4" s="172">
        <v>5</v>
      </c>
      <c r="K4" s="172">
        <v>6</v>
      </c>
      <c r="L4" s="172">
        <v>7</v>
      </c>
      <c r="M4" s="172">
        <v>8</v>
      </c>
      <c r="N4" s="172">
        <v>9</v>
      </c>
      <c r="O4" s="172">
        <v>10</v>
      </c>
      <c r="P4" s="172">
        <v>11</v>
      </c>
      <c r="Q4" s="172">
        <v>12</v>
      </c>
      <c r="R4" s="172">
        <v>13</v>
      </c>
      <c r="S4" s="172">
        <v>14</v>
      </c>
      <c r="T4" s="172">
        <v>15</v>
      </c>
      <c r="U4" s="172">
        <v>16</v>
      </c>
      <c r="V4" s="172">
        <v>17</v>
      </c>
      <c r="W4" s="172">
        <v>18</v>
      </c>
      <c r="X4" s="172">
        <v>19</v>
      </c>
      <c r="Y4" s="172">
        <v>20</v>
      </c>
      <c r="Z4" s="172">
        <v>21</v>
      </c>
      <c r="AA4" s="172">
        <v>22</v>
      </c>
      <c r="AB4" s="172">
        <v>23</v>
      </c>
      <c r="AC4" s="172">
        <v>24</v>
      </c>
      <c r="AD4" s="172">
        <v>25</v>
      </c>
      <c r="AE4" s="172">
        <v>26</v>
      </c>
      <c r="AF4" s="172">
        <v>27</v>
      </c>
      <c r="AG4" s="172">
        <v>28</v>
      </c>
      <c r="AH4" s="172">
        <v>29</v>
      </c>
      <c r="AI4" s="172">
        <v>30</v>
      </c>
      <c r="AJ4" s="172">
        <v>31</v>
      </c>
      <c r="AK4" s="172">
        <v>32</v>
      </c>
      <c r="AL4" s="172">
        <v>33</v>
      </c>
      <c r="AM4" s="172">
        <v>34</v>
      </c>
      <c r="AN4" s="172">
        <v>35</v>
      </c>
      <c r="AO4" s="172">
        <v>36</v>
      </c>
      <c r="AP4" s="172">
        <v>37</v>
      </c>
      <c r="AQ4" s="172">
        <v>38</v>
      </c>
      <c r="AR4" s="172">
        <v>39</v>
      </c>
      <c r="AS4" s="173">
        <v>40</v>
      </c>
    </row>
    <row r="5" spans="1:45" x14ac:dyDescent="0.2">
      <c r="A5" s="174"/>
      <c r="B5" s="174" t="s">
        <v>254</v>
      </c>
      <c r="C5" s="175" t="s">
        <v>255</v>
      </c>
      <c r="D5" s="176"/>
      <c r="E5" s="177">
        <f>-C30</f>
        <v>-9838336.2750000004</v>
      </c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9"/>
    </row>
    <row r="6" spans="1:45" ht="6" customHeight="1" x14ac:dyDescent="0.2">
      <c r="A6" s="180"/>
      <c r="B6" s="175"/>
      <c r="C6" s="181"/>
      <c r="D6" s="181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9"/>
    </row>
    <row r="7" spans="1:45" x14ac:dyDescent="0.2">
      <c r="A7" s="180"/>
      <c r="B7" s="180"/>
      <c r="C7" s="175"/>
      <c r="D7" s="180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82"/>
      <c r="AM7" s="182"/>
      <c r="AN7" s="182"/>
      <c r="AO7" s="182"/>
      <c r="AP7" s="182"/>
      <c r="AQ7" s="182"/>
      <c r="AR7" s="182"/>
      <c r="AS7" s="183"/>
    </row>
    <row r="8" spans="1:45" x14ac:dyDescent="0.2">
      <c r="A8" s="180"/>
      <c r="B8" s="180" t="s">
        <v>256</v>
      </c>
      <c r="C8" s="175" t="s">
        <v>257</v>
      </c>
      <c r="D8" s="180"/>
      <c r="E8" s="182"/>
      <c r="F8" s="182">
        <f t="shared" ref="F8:AS8" si="0">IF(F4&gt;lifetime,0,Power*power_loadhours*1000)</f>
        <v>0</v>
      </c>
      <c r="G8" s="182">
        <f t="shared" si="0"/>
        <v>0</v>
      </c>
      <c r="H8" s="182">
        <f t="shared" si="0"/>
        <v>0</v>
      </c>
      <c r="I8" s="182">
        <f t="shared" si="0"/>
        <v>0</v>
      </c>
      <c r="J8" s="182">
        <f t="shared" si="0"/>
        <v>0</v>
      </c>
      <c r="K8" s="182">
        <f t="shared" si="0"/>
        <v>0</v>
      </c>
      <c r="L8" s="182">
        <f t="shared" si="0"/>
        <v>0</v>
      </c>
      <c r="M8" s="182">
        <f t="shared" si="0"/>
        <v>0</v>
      </c>
      <c r="N8" s="182">
        <f t="shared" si="0"/>
        <v>0</v>
      </c>
      <c r="O8" s="182">
        <f t="shared" si="0"/>
        <v>0</v>
      </c>
      <c r="P8" s="182">
        <f t="shared" si="0"/>
        <v>0</v>
      </c>
      <c r="Q8" s="182">
        <f t="shared" si="0"/>
        <v>0</v>
      </c>
      <c r="R8" s="182">
        <f t="shared" si="0"/>
        <v>0</v>
      </c>
      <c r="S8" s="182">
        <f t="shared" si="0"/>
        <v>0</v>
      </c>
      <c r="T8" s="182">
        <f t="shared" si="0"/>
        <v>0</v>
      </c>
      <c r="U8" s="182">
        <f t="shared" si="0"/>
        <v>0</v>
      </c>
      <c r="V8" s="182">
        <f t="shared" si="0"/>
        <v>0</v>
      </c>
      <c r="W8" s="182">
        <f t="shared" si="0"/>
        <v>0</v>
      </c>
      <c r="X8" s="182">
        <f t="shared" si="0"/>
        <v>0</v>
      </c>
      <c r="Y8" s="182">
        <f t="shared" si="0"/>
        <v>0</v>
      </c>
      <c r="Z8" s="182">
        <f t="shared" si="0"/>
        <v>0</v>
      </c>
      <c r="AA8" s="182">
        <f t="shared" si="0"/>
        <v>0</v>
      </c>
      <c r="AB8" s="182">
        <f t="shared" si="0"/>
        <v>0</v>
      </c>
      <c r="AC8" s="182">
        <f t="shared" si="0"/>
        <v>0</v>
      </c>
      <c r="AD8" s="182">
        <f t="shared" si="0"/>
        <v>0</v>
      </c>
      <c r="AE8" s="182">
        <f t="shared" si="0"/>
        <v>0</v>
      </c>
      <c r="AF8" s="182">
        <f t="shared" si="0"/>
        <v>0</v>
      </c>
      <c r="AG8" s="182">
        <f t="shared" si="0"/>
        <v>0</v>
      </c>
      <c r="AH8" s="182">
        <f t="shared" si="0"/>
        <v>0</v>
      </c>
      <c r="AI8" s="182">
        <f t="shared" si="0"/>
        <v>0</v>
      </c>
      <c r="AJ8" s="182">
        <f t="shared" si="0"/>
        <v>0</v>
      </c>
      <c r="AK8" s="182">
        <f t="shared" si="0"/>
        <v>0</v>
      </c>
      <c r="AL8" s="182">
        <f t="shared" si="0"/>
        <v>0</v>
      </c>
      <c r="AM8" s="182">
        <f t="shared" si="0"/>
        <v>0</v>
      </c>
      <c r="AN8" s="182">
        <f t="shared" si="0"/>
        <v>0</v>
      </c>
      <c r="AO8" s="182">
        <f t="shared" si="0"/>
        <v>0</v>
      </c>
      <c r="AP8" s="182">
        <f t="shared" si="0"/>
        <v>0</v>
      </c>
      <c r="AQ8" s="182">
        <f t="shared" si="0"/>
        <v>0</v>
      </c>
      <c r="AR8" s="182">
        <f t="shared" si="0"/>
        <v>0</v>
      </c>
      <c r="AS8" s="182">
        <f t="shared" si="0"/>
        <v>0</v>
      </c>
    </row>
    <row r="9" spans="1:45" s="189" customFormat="1" ht="12.75" customHeight="1" x14ac:dyDescent="0.2">
      <c r="A9" s="184"/>
      <c r="B9" s="185" t="s">
        <v>258</v>
      </c>
      <c r="C9" s="186" t="s">
        <v>255</v>
      </c>
      <c r="D9" s="185"/>
      <c r="E9" s="187"/>
      <c r="F9" s="188">
        <f t="shared" ref="F9:AS9" si="1">IF(F4&gt;lifetime,0,-(power_OMfixed*Power*1000+F8*0.001*power_OMvar+heat_mwth*(coheatloadhours*heat_OMvar+heat_OMfixed*1000)))</f>
        <v>-881950.08822087268</v>
      </c>
      <c r="G9" s="188">
        <f t="shared" si="1"/>
        <v>-881950.08822087268</v>
      </c>
      <c r="H9" s="188">
        <f t="shared" si="1"/>
        <v>-881950.08822087268</v>
      </c>
      <c r="I9" s="188">
        <f t="shared" si="1"/>
        <v>-881950.08822087268</v>
      </c>
      <c r="J9" s="188">
        <f t="shared" si="1"/>
        <v>-881950.08822087268</v>
      </c>
      <c r="K9" s="188">
        <f t="shared" si="1"/>
        <v>-881950.08822087268</v>
      </c>
      <c r="L9" s="188">
        <f t="shared" si="1"/>
        <v>-881950.08822087268</v>
      </c>
      <c r="M9" s="188">
        <f t="shared" si="1"/>
        <v>-881950.08822087268</v>
      </c>
      <c r="N9" s="188">
        <f t="shared" si="1"/>
        <v>-881950.08822087268</v>
      </c>
      <c r="O9" s="188">
        <f t="shared" si="1"/>
        <v>-881950.08822087268</v>
      </c>
      <c r="P9" s="188">
        <f t="shared" si="1"/>
        <v>-881950.08822087268</v>
      </c>
      <c r="Q9" s="188">
        <f t="shared" si="1"/>
        <v>-881950.08822087268</v>
      </c>
      <c r="R9" s="188">
        <f t="shared" si="1"/>
        <v>-881950.08822087268</v>
      </c>
      <c r="S9" s="188">
        <f t="shared" si="1"/>
        <v>-881950.08822087268</v>
      </c>
      <c r="T9" s="188">
        <f t="shared" si="1"/>
        <v>-881950.08822087268</v>
      </c>
      <c r="U9" s="188">
        <f t="shared" si="1"/>
        <v>0</v>
      </c>
      <c r="V9" s="188">
        <f t="shared" si="1"/>
        <v>0</v>
      </c>
      <c r="W9" s="188">
        <f t="shared" si="1"/>
        <v>0</v>
      </c>
      <c r="X9" s="188">
        <f t="shared" si="1"/>
        <v>0</v>
      </c>
      <c r="Y9" s="188">
        <f t="shared" si="1"/>
        <v>0</v>
      </c>
      <c r="Z9" s="188">
        <f t="shared" si="1"/>
        <v>0</v>
      </c>
      <c r="AA9" s="188">
        <f t="shared" si="1"/>
        <v>0</v>
      </c>
      <c r="AB9" s="188">
        <f t="shared" si="1"/>
        <v>0</v>
      </c>
      <c r="AC9" s="188">
        <f t="shared" si="1"/>
        <v>0</v>
      </c>
      <c r="AD9" s="188">
        <f t="shared" si="1"/>
        <v>0</v>
      </c>
      <c r="AE9" s="188">
        <f t="shared" si="1"/>
        <v>0</v>
      </c>
      <c r="AF9" s="188">
        <f t="shared" si="1"/>
        <v>0</v>
      </c>
      <c r="AG9" s="188">
        <f t="shared" si="1"/>
        <v>0</v>
      </c>
      <c r="AH9" s="188">
        <f t="shared" si="1"/>
        <v>0</v>
      </c>
      <c r="AI9" s="188">
        <f t="shared" si="1"/>
        <v>0</v>
      </c>
      <c r="AJ9" s="188">
        <f t="shared" si="1"/>
        <v>0</v>
      </c>
      <c r="AK9" s="188">
        <f t="shared" si="1"/>
        <v>0</v>
      </c>
      <c r="AL9" s="188">
        <f t="shared" si="1"/>
        <v>0</v>
      </c>
      <c r="AM9" s="188">
        <f t="shared" si="1"/>
        <v>0</v>
      </c>
      <c r="AN9" s="188">
        <f t="shared" si="1"/>
        <v>0</v>
      </c>
      <c r="AO9" s="188">
        <f t="shared" si="1"/>
        <v>0</v>
      </c>
      <c r="AP9" s="188">
        <f t="shared" si="1"/>
        <v>0</v>
      </c>
      <c r="AQ9" s="188">
        <f t="shared" si="1"/>
        <v>0</v>
      </c>
      <c r="AR9" s="188">
        <f t="shared" si="1"/>
        <v>0</v>
      </c>
      <c r="AS9" s="188">
        <f t="shared" si="1"/>
        <v>0</v>
      </c>
    </row>
    <row r="10" spans="1:45" s="189" customFormat="1" x14ac:dyDescent="0.2">
      <c r="A10" s="184"/>
      <c r="B10" s="185" t="s">
        <v>259</v>
      </c>
      <c r="C10" s="186" t="s">
        <v>255</v>
      </c>
      <c r="D10" s="185"/>
      <c r="E10" s="187"/>
      <c r="F10" s="187"/>
      <c r="G10" s="187"/>
      <c r="H10" s="187"/>
      <c r="I10" s="187"/>
      <c r="J10" s="187">
        <f>-pumpcost2*1000000</f>
        <v>-300000</v>
      </c>
      <c r="K10" s="187"/>
      <c r="L10" s="187"/>
      <c r="M10" s="187"/>
      <c r="N10" s="187"/>
      <c r="O10" s="187">
        <f>-pumpcost2*1000000</f>
        <v>-300000</v>
      </c>
      <c r="P10" s="187"/>
      <c r="Q10" s="187"/>
      <c r="R10" s="187"/>
      <c r="S10" s="187"/>
      <c r="T10" s="187">
        <f>-pumpcost2*1000000</f>
        <v>-300000</v>
      </c>
      <c r="U10" s="187"/>
      <c r="V10" s="187"/>
      <c r="W10" s="187"/>
      <c r="X10" s="187"/>
      <c r="Y10" s="187">
        <f>-pumpcost2*1000000</f>
        <v>-300000</v>
      </c>
      <c r="Z10" s="187"/>
      <c r="AA10" s="187"/>
      <c r="AB10" s="187"/>
      <c r="AC10" s="187"/>
      <c r="AD10" s="187">
        <f>-pumpcost2*1000000</f>
        <v>-300000</v>
      </c>
      <c r="AE10" s="187"/>
      <c r="AF10" s="187"/>
      <c r="AG10" s="187"/>
      <c r="AH10" s="187"/>
      <c r="AI10" s="187">
        <f>-pumpcost2*1000000</f>
        <v>-300000</v>
      </c>
      <c r="AJ10" s="187"/>
      <c r="AK10" s="187"/>
      <c r="AL10" s="187"/>
      <c r="AM10" s="187"/>
      <c r="AN10" s="187">
        <f>-pumpcost2*1000000</f>
        <v>-300000</v>
      </c>
      <c r="AO10" s="187"/>
      <c r="AP10" s="187"/>
      <c r="AQ10" s="187"/>
      <c r="AR10" s="187"/>
      <c r="AS10" s="187">
        <f>-pumpcost2*1000000</f>
        <v>-300000</v>
      </c>
    </row>
    <row r="11" spans="1:45" x14ac:dyDescent="0.2">
      <c r="A11" s="180"/>
      <c r="B11" s="175" t="s">
        <v>260</v>
      </c>
      <c r="C11" s="175" t="s">
        <v>255</v>
      </c>
      <c r="D11" s="175"/>
      <c r="E11" s="182"/>
      <c r="F11" s="182">
        <f t="shared" ref="F11:AS11" si="2">F8*power_feedin*0.001+heat_mwth*coheatloadhours*coheat_feedin*3.6</f>
        <v>0</v>
      </c>
      <c r="G11" s="182">
        <f t="shared" si="2"/>
        <v>0</v>
      </c>
      <c r="H11" s="182">
        <f t="shared" si="2"/>
        <v>0</v>
      </c>
      <c r="I11" s="182">
        <f t="shared" si="2"/>
        <v>0</v>
      </c>
      <c r="J11" s="182">
        <f t="shared" si="2"/>
        <v>0</v>
      </c>
      <c r="K11" s="182">
        <f t="shared" si="2"/>
        <v>0</v>
      </c>
      <c r="L11" s="182">
        <f t="shared" si="2"/>
        <v>0</v>
      </c>
      <c r="M11" s="182">
        <f t="shared" si="2"/>
        <v>0</v>
      </c>
      <c r="N11" s="182">
        <f t="shared" si="2"/>
        <v>0</v>
      </c>
      <c r="O11" s="182">
        <f t="shared" si="2"/>
        <v>0</v>
      </c>
      <c r="P11" s="182">
        <f t="shared" si="2"/>
        <v>0</v>
      </c>
      <c r="Q11" s="182">
        <f t="shared" si="2"/>
        <v>0</v>
      </c>
      <c r="R11" s="182">
        <f t="shared" si="2"/>
        <v>0</v>
      </c>
      <c r="S11" s="182">
        <f t="shared" si="2"/>
        <v>0</v>
      </c>
      <c r="T11" s="182">
        <f t="shared" si="2"/>
        <v>0</v>
      </c>
      <c r="U11" s="182">
        <f t="shared" si="2"/>
        <v>0</v>
      </c>
      <c r="V11" s="182">
        <f t="shared" si="2"/>
        <v>0</v>
      </c>
      <c r="W11" s="182">
        <f t="shared" si="2"/>
        <v>0</v>
      </c>
      <c r="X11" s="182">
        <f t="shared" si="2"/>
        <v>0</v>
      </c>
      <c r="Y11" s="182">
        <f t="shared" si="2"/>
        <v>0</v>
      </c>
      <c r="Z11" s="182">
        <f t="shared" si="2"/>
        <v>0</v>
      </c>
      <c r="AA11" s="182">
        <f t="shared" si="2"/>
        <v>0</v>
      </c>
      <c r="AB11" s="182">
        <f t="shared" si="2"/>
        <v>0</v>
      </c>
      <c r="AC11" s="182">
        <f t="shared" si="2"/>
        <v>0</v>
      </c>
      <c r="AD11" s="182">
        <f t="shared" si="2"/>
        <v>0</v>
      </c>
      <c r="AE11" s="182">
        <f t="shared" si="2"/>
        <v>0</v>
      </c>
      <c r="AF11" s="182">
        <f t="shared" si="2"/>
        <v>0</v>
      </c>
      <c r="AG11" s="182">
        <f t="shared" si="2"/>
        <v>0</v>
      </c>
      <c r="AH11" s="182">
        <f t="shared" si="2"/>
        <v>0</v>
      </c>
      <c r="AI11" s="182">
        <f t="shared" si="2"/>
        <v>0</v>
      </c>
      <c r="AJ11" s="182">
        <f t="shared" si="2"/>
        <v>0</v>
      </c>
      <c r="AK11" s="182">
        <f t="shared" si="2"/>
        <v>0</v>
      </c>
      <c r="AL11" s="182">
        <f t="shared" si="2"/>
        <v>0</v>
      </c>
      <c r="AM11" s="182">
        <f t="shared" si="2"/>
        <v>0</v>
      </c>
      <c r="AN11" s="182">
        <f t="shared" si="2"/>
        <v>0</v>
      </c>
      <c r="AO11" s="182">
        <f t="shared" si="2"/>
        <v>0</v>
      </c>
      <c r="AP11" s="182">
        <f t="shared" si="2"/>
        <v>0</v>
      </c>
      <c r="AQ11" s="182">
        <f t="shared" si="2"/>
        <v>0</v>
      </c>
      <c r="AR11" s="182">
        <f t="shared" si="2"/>
        <v>0</v>
      </c>
      <c r="AS11" s="182">
        <f t="shared" si="2"/>
        <v>0</v>
      </c>
    </row>
    <row r="12" spans="1:45" ht="6.75" customHeight="1" x14ac:dyDescent="0.2">
      <c r="A12" s="180"/>
      <c r="B12" s="175"/>
      <c r="C12" s="175"/>
      <c r="D12" s="175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3"/>
    </row>
    <row r="13" spans="1:45" x14ac:dyDescent="0.2">
      <c r="A13" s="180"/>
      <c r="B13" s="175" t="s">
        <v>261</v>
      </c>
      <c r="C13" s="175" t="s">
        <v>255</v>
      </c>
      <c r="D13" s="175"/>
      <c r="E13" s="182"/>
      <c r="F13" s="182">
        <f t="shared" ref="F13:AS13" si="3">IF(F4&gt;lifetime,0,POWER(1+inflation,F4-$F$4)*SUM(F11:F11))</f>
        <v>0</v>
      </c>
      <c r="G13" s="182">
        <f t="shared" si="3"/>
        <v>0</v>
      </c>
      <c r="H13" s="182">
        <f t="shared" si="3"/>
        <v>0</v>
      </c>
      <c r="I13" s="182">
        <f t="shared" si="3"/>
        <v>0</v>
      </c>
      <c r="J13" s="182">
        <f t="shared" si="3"/>
        <v>0</v>
      </c>
      <c r="K13" s="182">
        <f t="shared" si="3"/>
        <v>0</v>
      </c>
      <c r="L13" s="182">
        <f t="shared" si="3"/>
        <v>0</v>
      </c>
      <c r="M13" s="182">
        <f t="shared" si="3"/>
        <v>0</v>
      </c>
      <c r="N13" s="182">
        <f t="shared" si="3"/>
        <v>0</v>
      </c>
      <c r="O13" s="182">
        <f t="shared" si="3"/>
        <v>0</v>
      </c>
      <c r="P13" s="182">
        <f t="shared" si="3"/>
        <v>0</v>
      </c>
      <c r="Q13" s="182">
        <f t="shared" si="3"/>
        <v>0</v>
      </c>
      <c r="R13" s="182">
        <f t="shared" si="3"/>
        <v>0</v>
      </c>
      <c r="S13" s="182">
        <f t="shared" si="3"/>
        <v>0</v>
      </c>
      <c r="T13" s="182">
        <f t="shared" si="3"/>
        <v>0</v>
      </c>
      <c r="U13" s="182">
        <f t="shared" si="3"/>
        <v>0</v>
      </c>
      <c r="V13" s="182">
        <f t="shared" si="3"/>
        <v>0</v>
      </c>
      <c r="W13" s="182">
        <f t="shared" si="3"/>
        <v>0</v>
      </c>
      <c r="X13" s="182">
        <f t="shared" si="3"/>
        <v>0</v>
      </c>
      <c r="Y13" s="182">
        <f t="shared" si="3"/>
        <v>0</v>
      </c>
      <c r="Z13" s="182">
        <f t="shared" si="3"/>
        <v>0</v>
      </c>
      <c r="AA13" s="182">
        <f t="shared" si="3"/>
        <v>0</v>
      </c>
      <c r="AB13" s="182">
        <f t="shared" si="3"/>
        <v>0</v>
      </c>
      <c r="AC13" s="182">
        <f t="shared" si="3"/>
        <v>0</v>
      </c>
      <c r="AD13" s="182">
        <f t="shared" si="3"/>
        <v>0</v>
      </c>
      <c r="AE13" s="182">
        <f t="shared" si="3"/>
        <v>0</v>
      </c>
      <c r="AF13" s="182">
        <f t="shared" si="3"/>
        <v>0</v>
      </c>
      <c r="AG13" s="182">
        <f t="shared" si="3"/>
        <v>0</v>
      </c>
      <c r="AH13" s="182">
        <f t="shared" si="3"/>
        <v>0</v>
      </c>
      <c r="AI13" s="182">
        <f t="shared" si="3"/>
        <v>0</v>
      </c>
      <c r="AJ13" s="182">
        <f t="shared" si="3"/>
        <v>0</v>
      </c>
      <c r="AK13" s="182">
        <f t="shared" si="3"/>
        <v>0</v>
      </c>
      <c r="AL13" s="182">
        <f t="shared" si="3"/>
        <v>0</v>
      </c>
      <c r="AM13" s="182">
        <f t="shared" si="3"/>
        <v>0</v>
      </c>
      <c r="AN13" s="182">
        <f t="shared" si="3"/>
        <v>0</v>
      </c>
      <c r="AO13" s="182">
        <f t="shared" si="3"/>
        <v>0</v>
      </c>
      <c r="AP13" s="182">
        <f t="shared" si="3"/>
        <v>0</v>
      </c>
      <c r="AQ13" s="182">
        <f t="shared" si="3"/>
        <v>0</v>
      </c>
      <c r="AR13" s="182">
        <f t="shared" si="3"/>
        <v>0</v>
      </c>
      <c r="AS13" s="182">
        <f t="shared" si="3"/>
        <v>0</v>
      </c>
    </row>
    <row r="14" spans="1:45" x14ac:dyDescent="0.2">
      <c r="A14" s="190"/>
      <c r="B14" s="191" t="s">
        <v>262</v>
      </c>
      <c r="C14" s="191" t="s">
        <v>255</v>
      </c>
      <c r="D14" s="191"/>
      <c r="E14" s="192"/>
      <c r="F14" s="193">
        <f t="shared" ref="F14:AS14" si="4">IF(F4&gt;lifetime,0,POWER(1+inflation,F4-$F$4)*SUM(F9:F10))</f>
        <v>-881950.08822087268</v>
      </c>
      <c r="G14" s="192">
        <f t="shared" si="4"/>
        <v>-881950.08822087268</v>
      </c>
      <c r="H14" s="192">
        <f t="shared" si="4"/>
        <v>-881950.08822087268</v>
      </c>
      <c r="I14" s="192">
        <f t="shared" si="4"/>
        <v>-881950.08822087268</v>
      </c>
      <c r="J14" s="192">
        <f t="shared" si="4"/>
        <v>-1181950.0882208727</v>
      </c>
      <c r="K14" s="192">
        <f t="shared" si="4"/>
        <v>-881950.08822087268</v>
      </c>
      <c r="L14" s="192">
        <f t="shared" si="4"/>
        <v>-881950.08822087268</v>
      </c>
      <c r="M14" s="192">
        <f t="shared" si="4"/>
        <v>-881950.08822087268</v>
      </c>
      <c r="N14" s="192">
        <f t="shared" si="4"/>
        <v>-881950.08822087268</v>
      </c>
      <c r="O14" s="192">
        <f t="shared" si="4"/>
        <v>-1181950.0882208727</v>
      </c>
      <c r="P14" s="192">
        <f t="shared" si="4"/>
        <v>-881950.08822087268</v>
      </c>
      <c r="Q14" s="192">
        <f t="shared" si="4"/>
        <v>-881950.08822087268</v>
      </c>
      <c r="R14" s="192">
        <f t="shared" si="4"/>
        <v>-881950.08822087268</v>
      </c>
      <c r="S14" s="192">
        <f t="shared" si="4"/>
        <v>-881950.08822087268</v>
      </c>
      <c r="T14" s="192">
        <f t="shared" si="4"/>
        <v>-1181950.0882208727</v>
      </c>
      <c r="U14" s="192">
        <f t="shared" si="4"/>
        <v>0</v>
      </c>
      <c r="V14" s="192">
        <f t="shared" si="4"/>
        <v>0</v>
      </c>
      <c r="W14" s="192">
        <f t="shared" si="4"/>
        <v>0</v>
      </c>
      <c r="X14" s="192">
        <f t="shared" si="4"/>
        <v>0</v>
      </c>
      <c r="Y14" s="192">
        <f t="shared" si="4"/>
        <v>0</v>
      </c>
      <c r="Z14" s="192">
        <f t="shared" si="4"/>
        <v>0</v>
      </c>
      <c r="AA14" s="192">
        <f t="shared" si="4"/>
        <v>0</v>
      </c>
      <c r="AB14" s="192">
        <f t="shared" si="4"/>
        <v>0</v>
      </c>
      <c r="AC14" s="192">
        <f t="shared" si="4"/>
        <v>0</v>
      </c>
      <c r="AD14" s="192">
        <f t="shared" si="4"/>
        <v>0</v>
      </c>
      <c r="AE14" s="192">
        <f t="shared" si="4"/>
        <v>0</v>
      </c>
      <c r="AF14" s="192">
        <f t="shared" si="4"/>
        <v>0</v>
      </c>
      <c r="AG14" s="192">
        <f t="shared" si="4"/>
        <v>0</v>
      </c>
      <c r="AH14" s="192">
        <f t="shared" si="4"/>
        <v>0</v>
      </c>
      <c r="AI14" s="192">
        <f t="shared" si="4"/>
        <v>0</v>
      </c>
      <c r="AJ14" s="192">
        <f t="shared" si="4"/>
        <v>0</v>
      </c>
      <c r="AK14" s="192">
        <f t="shared" si="4"/>
        <v>0</v>
      </c>
      <c r="AL14" s="192">
        <f t="shared" si="4"/>
        <v>0</v>
      </c>
      <c r="AM14" s="192">
        <f t="shared" si="4"/>
        <v>0</v>
      </c>
      <c r="AN14" s="192">
        <f t="shared" si="4"/>
        <v>0</v>
      </c>
      <c r="AO14" s="192">
        <f t="shared" si="4"/>
        <v>0</v>
      </c>
      <c r="AP14" s="192">
        <f t="shared" si="4"/>
        <v>0</v>
      </c>
      <c r="AQ14" s="192">
        <f t="shared" si="4"/>
        <v>0</v>
      </c>
      <c r="AR14" s="192">
        <f t="shared" si="4"/>
        <v>0</v>
      </c>
      <c r="AS14" s="194">
        <f t="shared" si="4"/>
        <v>0</v>
      </c>
    </row>
    <row r="15" spans="1:45" x14ac:dyDescent="0.2">
      <c r="A15" s="195"/>
      <c r="B15" s="195" t="s">
        <v>263</v>
      </c>
      <c r="C15" s="196" t="s">
        <v>255</v>
      </c>
      <c r="D15" s="196"/>
      <c r="E15" s="197"/>
      <c r="F15" s="197">
        <f t="shared" ref="F15:AS15" si="5">SUM(F13:F14)</f>
        <v>-881950.08822087268</v>
      </c>
      <c r="G15" s="197">
        <f t="shared" si="5"/>
        <v>-881950.08822087268</v>
      </c>
      <c r="H15" s="197">
        <f t="shared" si="5"/>
        <v>-881950.08822087268</v>
      </c>
      <c r="I15" s="197">
        <f t="shared" si="5"/>
        <v>-881950.08822087268</v>
      </c>
      <c r="J15" s="197">
        <f t="shared" si="5"/>
        <v>-1181950.0882208727</v>
      </c>
      <c r="K15" s="197">
        <f t="shared" si="5"/>
        <v>-881950.08822087268</v>
      </c>
      <c r="L15" s="197">
        <f t="shared" si="5"/>
        <v>-881950.08822087268</v>
      </c>
      <c r="M15" s="197">
        <f t="shared" si="5"/>
        <v>-881950.08822087268</v>
      </c>
      <c r="N15" s="197">
        <f t="shared" si="5"/>
        <v>-881950.08822087268</v>
      </c>
      <c r="O15" s="197">
        <f t="shared" si="5"/>
        <v>-1181950.0882208727</v>
      </c>
      <c r="P15" s="197">
        <f t="shared" si="5"/>
        <v>-881950.08822087268</v>
      </c>
      <c r="Q15" s="197">
        <f t="shared" si="5"/>
        <v>-881950.08822087268</v>
      </c>
      <c r="R15" s="197">
        <f t="shared" si="5"/>
        <v>-881950.08822087268</v>
      </c>
      <c r="S15" s="197">
        <f t="shared" si="5"/>
        <v>-881950.08822087268</v>
      </c>
      <c r="T15" s="197">
        <f t="shared" si="5"/>
        <v>-1181950.0882208727</v>
      </c>
      <c r="U15" s="197">
        <f t="shared" si="5"/>
        <v>0</v>
      </c>
      <c r="V15" s="197">
        <f t="shared" si="5"/>
        <v>0</v>
      </c>
      <c r="W15" s="197">
        <f t="shared" si="5"/>
        <v>0</v>
      </c>
      <c r="X15" s="197">
        <f t="shared" si="5"/>
        <v>0</v>
      </c>
      <c r="Y15" s="197">
        <f t="shared" si="5"/>
        <v>0</v>
      </c>
      <c r="Z15" s="197">
        <f t="shared" si="5"/>
        <v>0</v>
      </c>
      <c r="AA15" s="197">
        <f t="shared" si="5"/>
        <v>0</v>
      </c>
      <c r="AB15" s="197">
        <f t="shared" si="5"/>
        <v>0</v>
      </c>
      <c r="AC15" s="197">
        <f t="shared" si="5"/>
        <v>0</v>
      </c>
      <c r="AD15" s="197">
        <f t="shared" si="5"/>
        <v>0</v>
      </c>
      <c r="AE15" s="197">
        <f t="shared" si="5"/>
        <v>0</v>
      </c>
      <c r="AF15" s="197">
        <f t="shared" si="5"/>
        <v>0</v>
      </c>
      <c r="AG15" s="197">
        <f t="shared" si="5"/>
        <v>0</v>
      </c>
      <c r="AH15" s="197">
        <f t="shared" si="5"/>
        <v>0</v>
      </c>
      <c r="AI15" s="197">
        <f t="shared" si="5"/>
        <v>0</v>
      </c>
      <c r="AJ15" s="197">
        <f t="shared" si="5"/>
        <v>0</v>
      </c>
      <c r="AK15" s="197">
        <f t="shared" si="5"/>
        <v>0</v>
      </c>
      <c r="AL15" s="197">
        <f t="shared" si="5"/>
        <v>0</v>
      </c>
      <c r="AM15" s="197">
        <f t="shared" si="5"/>
        <v>0</v>
      </c>
      <c r="AN15" s="197">
        <f t="shared" si="5"/>
        <v>0</v>
      </c>
      <c r="AO15" s="197">
        <f t="shared" si="5"/>
        <v>0</v>
      </c>
      <c r="AP15" s="197">
        <f t="shared" si="5"/>
        <v>0</v>
      </c>
      <c r="AQ15" s="197">
        <f t="shared" si="5"/>
        <v>0</v>
      </c>
      <c r="AR15" s="197">
        <f t="shared" si="5"/>
        <v>0</v>
      </c>
      <c r="AS15" s="198">
        <f t="shared" si="5"/>
        <v>0</v>
      </c>
    </row>
    <row r="16" spans="1:45" s="200" customFormat="1" ht="6.75" customHeight="1" x14ac:dyDescent="0.2">
      <c r="A16" s="199"/>
      <c r="B16" s="180"/>
      <c r="C16" s="175"/>
      <c r="D16" s="175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3"/>
    </row>
    <row r="17" spans="1:45" x14ac:dyDescent="0.2">
      <c r="A17" s="180"/>
      <c r="B17" s="180" t="s">
        <v>264</v>
      </c>
      <c r="C17" s="175" t="s">
        <v>255</v>
      </c>
      <c r="D17" s="175"/>
      <c r="E17" s="182"/>
      <c r="F17" s="182">
        <f>IF(F4&gt;depreciation_time,0,-CFpower!$C$30/depreciation_time)</f>
        <v>-655889.08500000008</v>
      </c>
      <c r="G17" s="182">
        <f>IF(G4&gt;depreciation_time,0,-CFpower!$C$30/depreciation_time)</f>
        <v>-655889.08500000008</v>
      </c>
      <c r="H17" s="182">
        <f>IF(H4&gt;depreciation_time,0,-CFpower!$C$30/depreciation_time)</f>
        <v>-655889.08500000008</v>
      </c>
      <c r="I17" s="182">
        <f>IF(I4&gt;depreciation_time,0,-CFpower!$C$30/depreciation_time)</f>
        <v>-655889.08500000008</v>
      </c>
      <c r="J17" s="182">
        <f>IF(J4&gt;depreciation_time,0,-CFpower!$C$30/depreciation_time)</f>
        <v>-655889.08500000008</v>
      </c>
      <c r="K17" s="182">
        <f>IF(K4&gt;depreciation_time,0,-CFpower!$C$30/depreciation_time)</f>
        <v>-655889.08500000008</v>
      </c>
      <c r="L17" s="182">
        <f>IF(L4&gt;depreciation_time,0,-CFpower!$C$30/depreciation_time)</f>
        <v>-655889.08500000008</v>
      </c>
      <c r="M17" s="182">
        <f>IF(M4&gt;depreciation_time,0,-CFpower!$C$30/depreciation_time)</f>
        <v>-655889.08500000008</v>
      </c>
      <c r="N17" s="182">
        <f>IF(N4&gt;depreciation_time,0,-CFpower!$C$30/depreciation_time)</f>
        <v>-655889.08500000008</v>
      </c>
      <c r="O17" s="182">
        <f>IF(O4&gt;depreciation_time,0,-CFpower!$C$30/depreciation_time)</f>
        <v>-655889.08500000008</v>
      </c>
      <c r="P17" s="182">
        <f>IF(P4&gt;depreciation_time,0,-CFpower!$C$30/depreciation_time)</f>
        <v>-655889.08500000008</v>
      </c>
      <c r="Q17" s="182">
        <f>IF(Q4&gt;depreciation_time,0,-CFpower!$C$30/depreciation_time)</f>
        <v>-655889.08500000008</v>
      </c>
      <c r="R17" s="182">
        <f>IF(R4&gt;depreciation_time,0,-CFpower!$C$30/depreciation_time)</f>
        <v>-655889.08500000008</v>
      </c>
      <c r="S17" s="182">
        <f>IF(S4&gt;depreciation_time,0,-CFpower!$C$30/depreciation_time)</f>
        <v>-655889.08500000008</v>
      </c>
      <c r="T17" s="182">
        <f>IF(T4&gt;depreciation_time,0,-CFpower!$C$30/depreciation_time)</f>
        <v>-655889.08500000008</v>
      </c>
      <c r="U17" s="182">
        <f>IF(U4&gt;depreciation_time,0,-CFpower!$C$30/depreciation_time)</f>
        <v>0</v>
      </c>
      <c r="V17" s="182">
        <f>IF(V4&gt;depreciation_time,0,-CFpower!$C$30/depreciation_time)</f>
        <v>0</v>
      </c>
      <c r="W17" s="182">
        <f>IF(W4&gt;depreciation_time,0,-CFpower!$C$30/depreciation_time)</f>
        <v>0</v>
      </c>
      <c r="X17" s="182">
        <f>IF(X4&gt;depreciation_time,0,-CFpower!$C$30/depreciation_time)</f>
        <v>0</v>
      </c>
      <c r="Y17" s="182">
        <f>IF(Y4&gt;depreciation_time,0,-CFpower!$C$30/depreciation_time)</f>
        <v>0</v>
      </c>
      <c r="Z17" s="182">
        <f>IF(Z4&gt;depreciation_time,0,-CFpower!$C$30/depreciation_time)</f>
        <v>0</v>
      </c>
      <c r="AA17" s="182">
        <f>IF(AA4&gt;depreciation_time,0,-CFpower!$C$30/depreciation_time)</f>
        <v>0</v>
      </c>
      <c r="AB17" s="182">
        <f>IF(AB4&gt;depreciation_time,0,-CFpower!$C$30/depreciation_time)</f>
        <v>0</v>
      </c>
      <c r="AC17" s="182">
        <f>IF(AC4&gt;depreciation_time,0,-CFpower!$C$30/depreciation_time)</f>
        <v>0</v>
      </c>
      <c r="AD17" s="182">
        <f>IF(AD4&gt;depreciation_time,0,-CFpower!$C$30/depreciation_time)</f>
        <v>0</v>
      </c>
      <c r="AE17" s="182">
        <f>IF(AE4&gt;depreciation_time,0,-CFpower!$C$30/depreciation_time)</f>
        <v>0</v>
      </c>
      <c r="AF17" s="182">
        <f>IF(AF4&gt;depreciation_time,0,-CFpower!$C$30/depreciation_time)</f>
        <v>0</v>
      </c>
      <c r="AG17" s="182">
        <f>IF(AG4&gt;depreciation_time,0,-CFpower!$C$30/depreciation_time)</f>
        <v>0</v>
      </c>
      <c r="AH17" s="182">
        <f>IF(AH4&gt;depreciation_time,0,-CFpower!$C$30/depreciation_time)</f>
        <v>0</v>
      </c>
      <c r="AI17" s="182">
        <f>IF(AI4&gt;depreciation_time,0,-CFpower!$C$30/depreciation_time)</f>
        <v>0</v>
      </c>
      <c r="AJ17" s="182">
        <f>IF(AJ4&gt;depreciation_time,0,-CFpower!$C$30/depreciation_time)</f>
        <v>0</v>
      </c>
      <c r="AK17" s="182">
        <f>IF(AK4&gt;depreciation_time,0,-CFpower!$C$30/depreciation_time)</f>
        <v>0</v>
      </c>
      <c r="AL17" s="182">
        <f>IF(AL4&gt;depreciation_time,0,-CFpower!$C$30/depreciation_time)</f>
        <v>0</v>
      </c>
      <c r="AM17" s="182">
        <f>IF(AM4&gt;depreciation_time,0,-CFpower!$C$30/depreciation_time)</f>
        <v>0</v>
      </c>
      <c r="AN17" s="182">
        <f>IF(AN4&gt;depreciation_time,0,-CFpower!$C$30/depreciation_time)</f>
        <v>0</v>
      </c>
      <c r="AO17" s="182">
        <f>IF(AO4&gt;depreciation_time,0,-CFpower!$C$30/depreciation_time)</f>
        <v>0</v>
      </c>
      <c r="AP17" s="182">
        <f>IF(AP4&gt;depreciation_time,0,-CFpower!$C$30/depreciation_time)</f>
        <v>0</v>
      </c>
      <c r="AQ17" s="182">
        <f>IF(AQ4&gt;depreciation_time,0,-CFpower!$C$30/depreciation_time)</f>
        <v>0</v>
      </c>
      <c r="AR17" s="182">
        <f>IF(AR4&gt;depreciation_time,0,-CFpower!$C$30/depreciation_time)</f>
        <v>0</v>
      </c>
      <c r="AS17" s="183">
        <f>IF(AS4&gt;depreciation_time,0,-CFpower!$C$30/depreciation_time)</f>
        <v>0</v>
      </c>
    </row>
    <row r="18" spans="1:45" x14ac:dyDescent="0.2">
      <c r="A18" s="180"/>
      <c r="B18" s="180" t="s">
        <v>265</v>
      </c>
      <c r="C18" s="180" t="s">
        <v>255</v>
      </c>
      <c r="D18" s="180"/>
      <c r="E18" s="182"/>
      <c r="F18" s="182">
        <f>IF(F4&gt;term_loan,0,IPMT(Input_Output!$D$57,F4,term_loan,CFpower!$C$35))</f>
        <v>-472240.14120000001</v>
      </c>
      <c r="G18" s="182">
        <f>IF(G4&gt;term_loan,0,IPMT(Input_Output!$D$57,G4,term_loan,CFpower!$C$35))</f>
        <v>-451951.39948340075</v>
      </c>
      <c r="H18" s="182">
        <f>IF(H4&gt;term_loan,0,IPMT(Input_Output!$D$57,H4,term_loan,CFpower!$C$35))</f>
        <v>-430445.33326380578</v>
      </c>
      <c r="I18" s="182">
        <f>IF(I4&gt;term_loan,0,IPMT(Input_Output!$D$57,I4,term_loan,CFpower!$C$35))</f>
        <v>-407648.90307103493</v>
      </c>
      <c r="J18" s="182">
        <f>IF(J4&gt;term_loan,0,IPMT(Input_Output!$D$57,J4,term_loan,CFpower!$C$35))</f>
        <v>-383484.68706669792</v>
      </c>
      <c r="K18" s="182">
        <f>IF(K4&gt;term_loan,0,IPMT(Input_Output!$D$57,K4,term_loan,CFpower!$C$35))</f>
        <v>-357870.61810210062</v>
      </c>
      <c r="L18" s="182">
        <f>IF(L4&gt;term_loan,0,IPMT(Input_Output!$D$57,L4,term_loan,CFpower!$C$35))</f>
        <v>-330719.70499962755</v>
      </c>
      <c r="M18" s="182">
        <f>IF(M4&gt;term_loan,0,IPMT(Input_Output!$D$57,M4,term_loan,CFpower!$C$35))</f>
        <v>-301939.73711100593</v>
      </c>
      <c r="N18" s="182">
        <f>IF(N4&gt;term_loan,0,IPMT(Input_Output!$D$57,N4,term_loan,CFpower!$C$35))</f>
        <v>-271432.97114906728</v>
      </c>
      <c r="O18" s="182">
        <f>IF(O4&gt;term_loan,0,IPMT(Input_Output!$D$57,O4,term_loan,CFpower!$C$35))</f>
        <v>-239095.79922941211</v>
      </c>
      <c r="P18" s="182">
        <f>IF(P4&gt;term_loan,0,IPMT(Input_Output!$D$57,P4,term_loan,CFpower!$C$35))</f>
        <v>-204818.39699457775</v>
      </c>
      <c r="Q18" s="182">
        <f>IF(Q4&gt;term_loan,0,IPMT(Input_Output!$D$57,Q4,term_loan,CFpower!$C$35))</f>
        <v>-168484.35062565326</v>
      </c>
      <c r="R18" s="182">
        <f>IF(R4&gt;term_loan,0,IPMT(Input_Output!$D$57,R4,term_loan,CFpower!$C$35))</f>
        <v>-129970.2614745933</v>
      </c>
      <c r="S18" s="182">
        <f>IF(S4&gt;term_loan,0,IPMT(Input_Output!$D$57,S4,term_loan,CFpower!$C$35))</f>
        <v>-89145.326974469761</v>
      </c>
      <c r="T18" s="182">
        <f>IF(T4&gt;term_loan,0,IPMT(Input_Output!$D$57,T4,term_loan,CFpower!$C$35))</f>
        <v>-45870.896404338811</v>
      </c>
      <c r="U18" s="182">
        <f>IF(U4&gt;term_loan,0,IPMT(Input_Output!$D$57,U4,term_loan,CFpower!$C$35))</f>
        <v>0</v>
      </c>
      <c r="V18" s="182">
        <f>IF(V4&gt;term_loan,0,IPMT(Input_Output!$D$57,V4,term_loan,CFpower!$C$35))</f>
        <v>0</v>
      </c>
      <c r="W18" s="182">
        <f>IF(W4&gt;term_loan,0,IPMT(Input_Output!$D$57,W4,term_loan,CFpower!$C$35))</f>
        <v>0</v>
      </c>
      <c r="X18" s="182">
        <f>IF(X4&gt;term_loan,0,IPMT(Input_Output!$D$57,X4,term_loan,CFpower!$C$35))</f>
        <v>0</v>
      </c>
      <c r="Y18" s="182">
        <f>IF(Y4&gt;term_loan,0,IPMT(Input_Output!$D$57,Y4,term_loan,CFpower!$C$35))</f>
        <v>0</v>
      </c>
      <c r="Z18" s="182">
        <f>IF(Z4&gt;term_loan,0,IPMT(Input_Output!$D$57,Z4,term_loan,CFpower!$C$35))</f>
        <v>0</v>
      </c>
      <c r="AA18" s="182">
        <f>IF(AA4&gt;term_loan,0,IPMT(Input_Output!$D$57,AA4,term_loan,CFpower!$C$35))</f>
        <v>0</v>
      </c>
      <c r="AB18" s="182">
        <f>IF(AB4&gt;term_loan,0,IPMT(Input_Output!$D$57,AB4,term_loan,CFpower!$C$35))</f>
        <v>0</v>
      </c>
      <c r="AC18" s="182">
        <f>IF(AC4&gt;term_loan,0,IPMT(Input_Output!$D$57,AC4,term_loan,CFpower!$C$35))</f>
        <v>0</v>
      </c>
      <c r="AD18" s="182">
        <f>IF(AD4&gt;term_loan,0,IPMT(Input_Output!$D$57,AD4,term_loan,CFpower!$C$35))</f>
        <v>0</v>
      </c>
      <c r="AE18" s="182">
        <f>IF(AE4&gt;term_loan,0,IPMT(Input_Output!$D$57,AE4,term_loan,CFpower!$C$35))</f>
        <v>0</v>
      </c>
      <c r="AF18" s="182">
        <f>IF(AF4&gt;term_loan,0,IPMT(Input_Output!$D$57,AF4,term_loan,CFpower!$C$35))</f>
        <v>0</v>
      </c>
      <c r="AG18" s="182">
        <f>IF(AG4&gt;term_loan,0,IPMT(Input_Output!$D$57,AG4,term_loan,CFpower!$C$35))</f>
        <v>0</v>
      </c>
      <c r="AH18" s="182">
        <f>IF(AH4&gt;term_loan,0,IPMT(Input_Output!$D$57,AH4,term_loan,CFpower!$C$35))</f>
        <v>0</v>
      </c>
      <c r="AI18" s="182">
        <f>IF(AI4&gt;term_loan,0,IPMT(Input_Output!$D$57,AI4,term_loan,CFpower!$C$35))</f>
        <v>0</v>
      </c>
      <c r="AJ18" s="182">
        <f>IF(AJ4&gt;term_loan,0,IPMT(Input_Output!$D$57,AJ4,term_loan,CFpower!$C$35))</f>
        <v>0</v>
      </c>
      <c r="AK18" s="182">
        <f>IF(AK4&gt;term_loan,0,IPMT(Input_Output!$D$57,AK4,term_loan,CFpower!$C$35))</f>
        <v>0</v>
      </c>
      <c r="AL18" s="182">
        <f>IF(AL4&gt;term_loan,0,IPMT(Input_Output!$D$57,AL4,term_loan,CFpower!$C$35))</f>
        <v>0</v>
      </c>
      <c r="AM18" s="182">
        <f>IF(AM4&gt;term_loan,0,IPMT(Input_Output!$D$57,AM4,term_loan,CFpower!$C$35))</f>
        <v>0</v>
      </c>
      <c r="AN18" s="182">
        <f>IF(AN4&gt;term_loan,0,IPMT(Input_Output!$D$57,AN4,term_loan,CFpower!$C$35))</f>
        <v>0</v>
      </c>
      <c r="AO18" s="182">
        <f>IF(AO4&gt;term_loan,0,IPMT(Input_Output!$D$57,AO4,term_loan,CFpower!$C$35))</f>
        <v>0</v>
      </c>
      <c r="AP18" s="182">
        <f>IF(AP4&gt;term_loan,0,IPMT(Input_Output!$D$57,AP4,term_loan,CFpower!$C$35))</f>
        <v>0</v>
      </c>
      <c r="AQ18" s="182">
        <f>IF(AQ4&gt;term_loan,0,IPMT(Input_Output!$D$57,AQ4,term_loan,CFpower!$C$35))</f>
        <v>0</v>
      </c>
      <c r="AR18" s="182">
        <f>IF(AR4&gt;term_loan,0,IPMT(Input_Output!$D$57,AR4,term_loan,CFpower!$C$35))</f>
        <v>0</v>
      </c>
      <c r="AS18" s="183">
        <f>IF(AS4&gt;term_loan,0,IPMT(Input_Output!$D$57,AS4,term_loan,CFpower!$C$35))</f>
        <v>0</v>
      </c>
    </row>
    <row r="19" spans="1:45" x14ac:dyDescent="0.2">
      <c r="A19" s="180"/>
      <c r="B19" s="180" t="s">
        <v>266</v>
      </c>
      <c r="C19" s="180" t="s">
        <v>255</v>
      </c>
      <c r="D19" s="180"/>
      <c r="E19" s="182"/>
      <c r="F19" s="182">
        <f>IF(F4&gt;term_loan,0,PPMT(Input_Output!$D$57,F4,term_loan,CFpower!$C$35))</f>
        <v>-338145.69527665246</v>
      </c>
      <c r="G19" s="182">
        <f>IF(G4&gt;term_loan,0,PPMT(Input_Output!$D$57,G4,term_loan,CFpower!$C$35))</f>
        <v>-358434.43699325161</v>
      </c>
      <c r="H19" s="182">
        <f>IF(H4&gt;term_loan,0,PPMT(Input_Output!$D$57,H4,term_loan,CFpower!$C$35))</f>
        <v>-379940.5032128467</v>
      </c>
      <c r="I19" s="182">
        <f>IF(I4&gt;term_loan,0,PPMT(Input_Output!$D$57,I4,term_loan,CFpower!$C$35))</f>
        <v>-402736.93340561748</v>
      </c>
      <c r="J19" s="182">
        <f>IF(J4&gt;term_loan,0,PPMT(Input_Output!$D$57,J4,term_loan,CFpower!$C$35))</f>
        <v>-426901.14940995455</v>
      </c>
      <c r="K19" s="182">
        <f>IF(K4&gt;term_loan,0,PPMT(Input_Output!$D$57,K4,term_loan,CFpower!$C$35))</f>
        <v>-452515.21837455174</v>
      </c>
      <c r="L19" s="182">
        <f>IF(L4&gt;term_loan,0,PPMT(Input_Output!$D$57,L4,term_loan,CFpower!$C$35))</f>
        <v>-479666.13147702487</v>
      </c>
      <c r="M19" s="182">
        <f>IF(M4&gt;term_loan,0,PPMT(Input_Output!$D$57,M4,term_loan,CFpower!$C$35))</f>
        <v>-508446.09936564631</v>
      </c>
      <c r="N19" s="182">
        <f>IF(N4&gt;term_loan,0,PPMT(Input_Output!$D$57,N4,term_loan,CFpower!$C$35))</f>
        <v>-538952.86532758526</v>
      </c>
      <c r="O19" s="182">
        <f>IF(O4&gt;term_loan,0,PPMT(Input_Output!$D$57,O4,term_loan,CFpower!$C$35))</f>
        <v>-571290.03724724019</v>
      </c>
      <c r="P19" s="182">
        <f>IF(P4&gt;term_loan,0,PPMT(Input_Output!$D$57,P4,term_loan,CFpower!$C$35))</f>
        <v>-605567.4394820747</v>
      </c>
      <c r="Q19" s="182">
        <f>IF(Q4&gt;term_loan,0,PPMT(Input_Output!$D$57,Q4,term_loan,CFpower!$C$35))</f>
        <v>-641901.48585099925</v>
      </c>
      <c r="R19" s="182">
        <f>IF(R4&gt;term_loan,0,PPMT(Input_Output!$D$57,R4,term_loan,CFpower!$C$35))</f>
        <v>-680415.57500205911</v>
      </c>
      <c r="S19" s="182">
        <f>IF(S4&gt;term_loan,0,PPMT(Input_Output!$D$57,S4,term_loan,CFpower!$C$35))</f>
        <v>-721240.5095021826</v>
      </c>
      <c r="T19" s="182">
        <f>IF(T4&gt;term_loan,0,PPMT(Input_Output!$D$57,T4,term_loan,CFpower!$C$35))</f>
        <v>-764514.94007231365</v>
      </c>
      <c r="U19" s="182">
        <f>IF(U4&gt;term_loan,0,PPMT(Input_Output!$D$57,U4,term_loan,CFpower!$C$35))</f>
        <v>0</v>
      </c>
      <c r="V19" s="182">
        <f>IF(V4&gt;term_loan,0,PPMT(Input_Output!$D$57,V4,term_loan,CFpower!$C$35))</f>
        <v>0</v>
      </c>
      <c r="W19" s="182">
        <f>IF(W4&gt;term_loan,0,PPMT(Input_Output!$D$57,W4,term_loan,CFpower!$C$35))</f>
        <v>0</v>
      </c>
      <c r="X19" s="182">
        <f>IF(X4&gt;term_loan,0,PPMT(Input_Output!$D$57,X4,term_loan,CFpower!$C$35))</f>
        <v>0</v>
      </c>
      <c r="Y19" s="182">
        <f>IF(Y4&gt;term_loan,0,PPMT(Input_Output!$D$57,Y4,term_loan,CFpower!$C$35))</f>
        <v>0</v>
      </c>
      <c r="Z19" s="182">
        <f>IF(Z4&gt;term_loan,0,PPMT(Input_Output!$D$57,Z4,term_loan,CFpower!$C$35))</f>
        <v>0</v>
      </c>
      <c r="AA19" s="182">
        <f>IF(AA4&gt;term_loan,0,PPMT(Input_Output!$D$57,AA4,term_loan,CFpower!$C$35))</f>
        <v>0</v>
      </c>
      <c r="AB19" s="182">
        <f>IF(AB4&gt;term_loan,0,PPMT(Input_Output!$D$57,AB4,term_loan,CFpower!$C$35))</f>
        <v>0</v>
      </c>
      <c r="AC19" s="182">
        <f>IF(AC4&gt;term_loan,0,PPMT(Input_Output!$D$57,AC4,term_loan,CFpower!$C$35))</f>
        <v>0</v>
      </c>
      <c r="AD19" s="182">
        <f>IF(AD4&gt;term_loan,0,PPMT(Input_Output!$D$57,AD4,term_loan,CFpower!$C$35))</f>
        <v>0</v>
      </c>
      <c r="AE19" s="182">
        <f>IF(AE4&gt;term_loan,0,PPMT(Input_Output!$D$57,AE4,term_loan,CFpower!$C$35))</f>
        <v>0</v>
      </c>
      <c r="AF19" s="182">
        <f>IF(AF4&gt;term_loan,0,PPMT(Input_Output!$D$57,AF4,term_loan,CFpower!$C$35))</f>
        <v>0</v>
      </c>
      <c r="AG19" s="182">
        <f>IF(AG4&gt;term_loan,0,PPMT(Input_Output!$D$57,AG4,term_loan,CFpower!$C$35))</f>
        <v>0</v>
      </c>
      <c r="AH19" s="182">
        <f>IF(AH4&gt;term_loan,0,PPMT(Input_Output!$D$57,AH4,term_loan,CFpower!$C$35))</f>
        <v>0</v>
      </c>
      <c r="AI19" s="182">
        <f>IF(AI4&gt;term_loan,0,PPMT(Input_Output!$D$57,AI4,term_loan,CFpower!$C$35))</f>
        <v>0</v>
      </c>
      <c r="AJ19" s="182">
        <f>IF(AJ4&gt;term_loan,0,PPMT(Input_Output!$D$57,AJ4,term_loan,CFpower!$C$35))</f>
        <v>0</v>
      </c>
      <c r="AK19" s="182">
        <f>IF(AK4&gt;term_loan,0,PPMT(Input_Output!$D$57,AK4,term_loan,CFpower!$C$35))</f>
        <v>0</v>
      </c>
      <c r="AL19" s="182">
        <f>IF(AL4&gt;term_loan,0,PPMT(Input_Output!$D$57,AL4,term_loan,CFpower!$C$35))</f>
        <v>0</v>
      </c>
      <c r="AM19" s="182">
        <f>IF(AM4&gt;term_loan,0,PPMT(Input_Output!$D$57,AM4,term_loan,CFpower!$C$35))</f>
        <v>0</v>
      </c>
      <c r="AN19" s="182">
        <f>IF(AN4&gt;term_loan,0,PPMT(Input_Output!$D$57,AN4,term_loan,CFpower!$C$35))</f>
        <v>0</v>
      </c>
      <c r="AO19" s="182">
        <f>IF(AO4&gt;term_loan,0,PPMT(Input_Output!$D$57,AO4,term_loan,CFpower!$C$35))</f>
        <v>0</v>
      </c>
      <c r="AP19" s="182">
        <f>IF(AP4&gt;term_loan,0,PPMT(Input_Output!$D$57,AP4,term_loan,CFpower!$C$35))</f>
        <v>0</v>
      </c>
      <c r="AQ19" s="182">
        <f>IF(AQ4&gt;term_loan,0,PPMT(Input_Output!$D$57,AQ4,term_loan,CFpower!$C$35))</f>
        <v>0</v>
      </c>
      <c r="AR19" s="182">
        <f>IF(AR4&gt;term_loan,0,PPMT(Input_Output!$D$57,AR4,term_loan,CFpower!$C$35))</f>
        <v>0</v>
      </c>
      <c r="AS19" s="183">
        <f>IF(AS4&gt;term_loan,0,PPMT(Input_Output!$D$57,AS4,term_loan,CFpower!$C$35))</f>
        <v>0</v>
      </c>
    </row>
    <row r="20" spans="1:45" s="43" customFormat="1" x14ac:dyDescent="0.2">
      <c r="A20" s="180"/>
      <c r="B20" s="180" t="s">
        <v>267</v>
      </c>
      <c r="C20" s="180" t="s">
        <v>255</v>
      </c>
      <c r="D20" s="180"/>
      <c r="E20" s="182"/>
      <c r="F20" s="182">
        <f t="shared" ref="F20:AS20" si="6">SUM(F18,F19)</f>
        <v>-810385.83647665242</v>
      </c>
      <c r="G20" s="182">
        <f t="shared" si="6"/>
        <v>-810385.83647665242</v>
      </c>
      <c r="H20" s="182">
        <f t="shared" si="6"/>
        <v>-810385.83647665242</v>
      </c>
      <c r="I20" s="182">
        <f t="shared" si="6"/>
        <v>-810385.83647665242</v>
      </c>
      <c r="J20" s="182">
        <f t="shared" si="6"/>
        <v>-810385.83647665242</v>
      </c>
      <c r="K20" s="182">
        <f t="shared" si="6"/>
        <v>-810385.83647665242</v>
      </c>
      <c r="L20" s="182">
        <f t="shared" si="6"/>
        <v>-810385.83647665242</v>
      </c>
      <c r="M20" s="182">
        <f t="shared" si="6"/>
        <v>-810385.83647665218</v>
      </c>
      <c r="N20" s="182">
        <f t="shared" si="6"/>
        <v>-810385.83647665253</v>
      </c>
      <c r="O20" s="182">
        <f t="shared" si="6"/>
        <v>-810385.8364766523</v>
      </c>
      <c r="P20" s="182">
        <f t="shared" si="6"/>
        <v>-810385.83647665242</v>
      </c>
      <c r="Q20" s="182">
        <f t="shared" si="6"/>
        <v>-810385.83647665253</v>
      </c>
      <c r="R20" s="182">
        <f t="shared" si="6"/>
        <v>-810385.83647665242</v>
      </c>
      <c r="S20" s="182">
        <f t="shared" si="6"/>
        <v>-810385.83647665242</v>
      </c>
      <c r="T20" s="182">
        <f t="shared" si="6"/>
        <v>-810385.83647665242</v>
      </c>
      <c r="U20" s="182">
        <f t="shared" si="6"/>
        <v>0</v>
      </c>
      <c r="V20" s="182">
        <f t="shared" si="6"/>
        <v>0</v>
      </c>
      <c r="W20" s="182">
        <f t="shared" si="6"/>
        <v>0</v>
      </c>
      <c r="X20" s="182">
        <f t="shared" si="6"/>
        <v>0</v>
      </c>
      <c r="Y20" s="182">
        <f t="shared" si="6"/>
        <v>0</v>
      </c>
      <c r="Z20" s="182">
        <f t="shared" si="6"/>
        <v>0</v>
      </c>
      <c r="AA20" s="182">
        <f t="shared" si="6"/>
        <v>0</v>
      </c>
      <c r="AB20" s="182">
        <f t="shared" si="6"/>
        <v>0</v>
      </c>
      <c r="AC20" s="182">
        <f t="shared" si="6"/>
        <v>0</v>
      </c>
      <c r="AD20" s="182">
        <f t="shared" si="6"/>
        <v>0</v>
      </c>
      <c r="AE20" s="182">
        <f t="shared" si="6"/>
        <v>0</v>
      </c>
      <c r="AF20" s="182">
        <f t="shared" si="6"/>
        <v>0</v>
      </c>
      <c r="AG20" s="182">
        <f t="shared" si="6"/>
        <v>0</v>
      </c>
      <c r="AH20" s="182">
        <f t="shared" si="6"/>
        <v>0</v>
      </c>
      <c r="AI20" s="182">
        <f t="shared" si="6"/>
        <v>0</v>
      </c>
      <c r="AJ20" s="182">
        <f t="shared" si="6"/>
        <v>0</v>
      </c>
      <c r="AK20" s="182">
        <f t="shared" si="6"/>
        <v>0</v>
      </c>
      <c r="AL20" s="182">
        <f t="shared" si="6"/>
        <v>0</v>
      </c>
      <c r="AM20" s="182">
        <f t="shared" si="6"/>
        <v>0</v>
      </c>
      <c r="AN20" s="182">
        <f t="shared" si="6"/>
        <v>0</v>
      </c>
      <c r="AO20" s="182">
        <f t="shared" si="6"/>
        <v>0</v>
      </c>
      <c r="AP20" s="182">
        <f t="shared" si="6"/>
        <v>0</v>
      </c>
      <c r="AQ20" s="182">
        <f t="shared" si="6"/>
        <v>0</v>
      </c>
      <c r="AR20" s="182">
        <f t="shared" si="6"/>
        <v>0</v>
      </c>
      <c r="AS20" s="183">
        <f t="shared" si="6"/>
        <v>0</v>
      </c>
    </row>
    <row r="21" spans="1:45" ht="6.75" customHeight="1" x14ac:dyDescent="0.2">
      <c r="A21" s="199"/>
      <c r="B21" s="180"/>
      <c r="C21" s="180"/>
      <c r="D21" s="180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3"/>
    </row>
    <row r="22" spans="1:45" x14ac:dyDescent="0.2">
      <c r="A22" s="180"/>
      <c r="B22" s="180" t="s">
        <v>268</v>
      </c>
      <c r="C22" s="180" t="s">
        <v>255</v>
      </c>
      <c r="D22" s="180"/>
      <c r="E22" s="182"/>
      <c r="F22" s="182">
        <f t="shared" ref="F22:AS22" si="7">F15+F17+F18</f>
        <v>-2010079.3144208728</v>
      </c>
      <c r="G22" s="182">
        <f t="shared" si="7"/>
        <v>-1989790.5727042737</v>
      </c>
      <c r="H22" s="182">
        <f t="shared" si="7"/>
        <v>-1968284.5064846787</v>
      </c>
      <c r="I22" s="182">
        <f t="shared" si="7"/>
        <v>-1945488.0762919078</v>
      </c>
      <c r="J22" s="182">
        <f t="shared" si="7"/>
        <v>-2221323.8602875709</v>
      </c>
      <c r="K22" s="182">
        <f t="shared" si="7"/>
        <v>-1895709.7913229736</v>
      </c>
      <c r="L22" s="182">
        <f t="shared" si="7"/>
        <v>-1868558.8782205004</v>
      </c>
      <c r="M22" s="182">
        <f t="shared" si="7"/>
        <v>-1839778.9103318788</v>
      </c>
      <c r="N22" s="182">
        <f t="shared" si="7"/>
        <v>-1809272.1443699403</v>
      </c>
      <c r="O22" s="182">
        <f t="shared" si="7"/>
        <v>-2076934.972450285</v>
      </c>
      <c r="P22" s="182">
        <f t="shared" si="7"/>
        <v>-1742657.5702154506</v>
      </c>
      <c r="Q22" s="182">
        <f t="shared" si="7"/>
        <v>-1706323.5238465262</v>
      </c>
      <c r="R22" s="182">
        <f t="shared" si="7"/>
        <v>-1667809.4346954662</v>
      </c>
      <c r="S22" s="182">
        <f t="shared" si="7"/>
        <v>-1626984.5001953426</v>
      </c>
      <c r="T22" s="182">
        <f t="shared" si="7"/>
        <v>-1883710.0696252116</v>
      </c>
      <c r="U22" s="182">
        <f t="shared" si="7"/>
        <v>0</v>
      </c>
      <c r="V22" s="182">
        <f t="shared" si="7"/>
        <v>0</v>
      </c>
      <c r="W22" s="182">
        <f t="shared" si="7"/>
        <v>0</v>
      </c>
      <c r="X22" s="182">
        <f t="shared" si="7"/>
        <v>0</v>
      </c>
      <c r="Y22" s="182">
        <f t="shared" si="7"/>
        <v>0</v>
      </c>
      <c r="Z22" s="182">
        <f t="shared" si="7"/>
        <v>0</v>
      </c>
      <c r="AA22" s="182">
        <f t="shared" si="7"/>
        <v>0</v>
      </c>
      <c r="AB22" s="182">
        <f t="shared" si="7"/>
        <v>0</v>
      </c>
      <c r="AC22" s="182">
        <f t="shared" si="7"/>
        <v>0</v>
      </c>
      <c r="AD22" s="182">
        <f t="shared" si="7"/>
        <v>0</v>
      </c>
      <c r="AE22" s="182">
        <f t="shared" si="7"/>
        <v>0</v>
      </c>
      <c r="AF22" s="182">
        <f t="shared" si="7"/>
        <v>0</v>
      </c>
      <c r="AG22" s="182">
        <f t="shared" si="7"/>
        <v>0</v>
      </c>
      <c r="AH22" s="182">
        <f t="shared" si="7"/>
        <v>0</v>
      </c>
      <c r="AI22" s="182">
        <f t="shared" si="7"/>
        <v>0</v>
      </c>
      <c r="AJ22" s="182">
        <f t="shared" si="7"/>
        <v>0</v>
      </c>
      <c r="AK22" s="182">
        <f t="shared" si="7"/>
        <v>0</v>
      </c>
      <c r="AL22" s="182">
        <f t="shared" si="7"/>
        <v>0</v>
      </c>
      <c r="AM22" s="182">
        <f t="shared" si="7"/>
        <v>0</v>
      </c>
      <c r="AN22" s="182">
        <f t="shared" si="7"/>
        <v>0</v>
      </c>
      <c r="AO22" s="182">
        <f t="shared" si="7"/>
        <v>0</v>
      </c>
      <c r="AP22" s="182">
        <f t="shared" si="7"/>
        <v>0</v>
      </c>
      <c r="AQ22" s="182">
        <f t="shared" si="7"/>
        <v>0</v>
      </c>
      <c r="AR22" s="182">
        <f t="shared" si="7"/>
        <v>0</v>
      </c>
      <c r="AS22" s="183">
        <f t="shared" si="7"/>
        <v>0</v>
      </c>
    </row>
    <row r="23" spans="1:45" x14ac:dyDescent="0.2">
      <c r="A23" s="180"/>
      <c r="B23" s="180" t="s">
        <v>269</v>
      </c>
      <c r="C23" s="180" t="s">
        <v>255</v>
      </c>
      <c r="D23" s="180"/>
      <c r="E23" s="182"/>
      <c r="F23" s="182">
        <f t="shared" ref="F23:AS23" si="8">-tax*F22</f>
        <v>502519.82860521821</v>
      </c>
      <c r="G23" s="182">
        <f t="shared" si="8"/>
        <v>497447.64317606844</v>
      </c>
      <c r="H23" s="182">
        <f t="shared" si="8"/>
        <v>492071.12662116968</v>
      </c>
      <c r="I23" s="182">
        <f t="shared" si="8"/>
        <v>486372.01907297695</v>
      </c>
      <c r="J23" s="182">
        <f t="shared" si="8"/>
        <v>555330.96507189272</v>
      </c>
      <c r="K23" s="182">
        <f t="shared" si="8"/>
        <v>473927.44783074339</v>
      </c>
      <c r="L23" s="182">
        <f t="shared" si="8"/>
        <v>467139.71955512511</v>
      </c>
      <c r="M23" s="182">
        <f t="shared" si="8"/>
        <v>459944.7275829697</v>
      </c>
      <c r="N23" s="182">
        <f t="shared" si="8"/>
        <v>452318.03609248507</v>
      </c>
      <c r="O23" s="182">
        <f t="shared" si="8"/>
        <v>519233.74311257125</v>
      </c>
      <c r="P23" s="182">
        <f t="shared" si="8"/>
        <v>435664.39255386265</v>
      </c>
      <c r="Q23" s="182">
        <f t="shared" si="8"/>
        <v>426580.88096163154</v>
      </c>
      <c r="R23" s="182">
        <f t="shared" si="8"/>
        <v>416952.35867386655</v>
      </c>
      <c r="S23" s="182">
        <f t="shared" si="8"/>
        <v>406746.12504883565</v>
      </c>
      <c r="T23" s="182">
        <f t="shared" si="8"/>
        <v>470927.51740630291</v>
      </c>
      <c r="U23" s="182">
        <f t="shared" si="8"/>
        <v>0</v>
      </c>
      <c r="V23" s="182">
        <f t="shared" si="8"/>
        <v>0</v>
      </c>
      <c r="W23" s="182">
        <f t="shared" si="8"/>
        <v>0</v>
      </c>
      <c r="X23" s="182">
        <f t="shared" si="8"/>
        <v>0</v>
      </c>
      <c r="Y23" s="182">
        <f t="shared" si="8"/>
        <v>0</v>
      </c>
      <c r="Z23" s="182">
        <f t="shared" si="8"/>
        <v>0</v>
      </c>
      <c r="AA23" s="182">
        <f t="shared" si="8"/>
        <v>0</v>
      </c>
      <c r="AB23" s="182">
        <f t="shared" si="8"/>
        <v>0</v>
      </c>
      <c r="AC23" s="182">
        <f t="shared" si="8"/>
        <v>0</v>
      </c>
      <c r="AD23" s="182">
        <f t="shared" si="8"/>
        <v>0</v>
      </c>
      <c r="AE23" s="182">
        <f t="shared" si="8"/>
        <v>0</v>
      </c>
      <c r="AF23" s="182">
        <f t="shared" si="8"/>
        <v>0</v>
      </c>
      <c r="AG23" s="182">
        <f t="shared" si="8"/>
        <v>0</v>
      </c>
      <c r="AH23" s="182">
        <f t="shared" si="8"/>
        <v>0</v>
      </c>
      <c r="AI23" s="182">
        <f t="shared" si="8"/>
        <v>0</v>
      </c>
      <c r="AJ23" s="182">
        <f t="shared" si="8"/>
        <v>0</v>
      </c>
      <c r="AK23" s="182">
        <f t="shared" si="8"/>
        <v>0</v>
      </c>
      <c r="AL23" s="182">
        <f t="shared" si="8"/>
        <v>0</v>
      </c>
      <c r="AM23" s="182">
        <f t="shared" si="8"/>
        <v>0</v>
      </c>
      <c r="AN23" s="182">
        <f t="shared" si="8"/>
        <v>0</v>
      </c>
      <c r="AO23" s="182">
        <f t="shared" si="8"/>
        <v>0</v>
      </c>
      <c r="AP23" s="182">
        <f t="shared" si="8"/>
        <v>0</v>
      </c>
      <c r="AQ23" s="182">
        <f t="shared" si="8"/>
        <v>0</v>
      </c>
      <c r="AR23" s="182">
        <f t="shared" si="8"/>
        <v>0</v>
      </c>
      <c r="AS23" s="183">
        <f t="shared" si="8"/>
        <v>0</v>
      </c>
    </row>
    <row r="24" spans="1:45" x14ac:dyDescent="0.2">
      <c r="A24" s="199"/>
      <c r="B24" s="180"/>
      <c r="C24" s="180"/>
      <c r="D24" s="180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3"/>
    </row>
    <row r="25" spans="1:45" x14ac:dyDescent="0.2">
      <c r="A25" s="195"/>
      <c r="B25" s="195" t="s">
        <v>270</v>
      </c>
      <c r="C25" s="195" t="s">
        <v>255</v>
      </c>
      <c r="D25" s="195"/>
      <c r="E25" s="197"/>
      <c r="F25" s="197">
        <f t="shared" ref="F25:AS25" si="9">F15+F20+F23</f>
        <v>-1189816.096092307</v>
      </c>
      <c r="G25" s="197">
        <f t="shared" si="9"/>
        <v>-1194888.2815214568</v>
      </c>
      <c r="H25" s="197">
        <f t="shared" si="9"/>
        <v>-1200264.7980763554</v>
      </c>
      <c r="I25" s="197">
        <f t="shared" si="9"/>
        <v>-1205963.9056245482</v>
      </c>
      <c r="J25" s="197">
        <f t="shared" si="9"/>
        <v>-1437004.9596256325</v>
      </c>
      <c r="K25" s="197">
        <f t="shared" si="9"/>
        <v>-1218408.4768667817</v>
      </c>
      <c r="L25" s="197">
        <f t="shared" si="9"/>
        <v>-1225196.2051424</v>
      </c>
      <c r="M25" s="197">
        <f t="shared" si="9"/>
        <v>-1232391.1971145552</v>
      </c>
      <c r="N25" s="197">
        <f t="shared" si="9"/>
        <v>-1240017.8886050403</v>
      </c>
      <c r="O25" s="197">
        <f t="shared" si="9"/>
        <v>-1473102.1815849536</v>
      </c>
      <c r="P25" s="197">
        <f t="shared" si="9"/>
        <v>-1256671.5321436625</v>
      </c>
      <c r="Q25" s="197">
        <f t="shared" si="9"/>
        <v>-1265755.0437358939</v>
      </c>
      <c r="R25" s="197">
        <f t="shared" si="9"/>
        <v>-1275383.5660236585</v>
      </c>
      <c r="S25" s="197">
        <f t="shared" si="9"/>
        <v>-1285589.7996486896</v>
      </c>
      <c r="T25" s="197">
        <f t="shared" si="9"/>
        <v>-1521408.4072912221</v>
      </c>
      <c r="U25" s="197">
        <f t="shared" si="9"/>
        <v>0</v>
      </c>
      <c r="V25" s="197">
        <f t="shared" si="9"/>
        <v>0</v>
      </c>
      <c r="W25" s="197">
        <f t="shared" si="9"/>
        <v>0</v>
      </c>
      <c r="X25" s="197">
        <f t="shared" si="9"/>
        <v>0</v>
      </c>
      <c r="Y25" s="197">
        <f t="shared" si="9"/>
        <v>0</v>
      </c>
      <c r="Z25" s="197">
        <f t="shared" si="9"/>
        <v>0</v>
      </c>
      <c r="AA25" s="197">
        <f t="shared" si="9"/>
        <v>0</v>
      </c>
      <c r="AB25" s="197">
        <f t="shared" si="9"/>
        <v>0</v>
      </c>
      <c r="AC25" s="197">
        <f t="shared" si="9"/>
        <v>0</v>
      </c>
      <c r="AD25" s="197">
        <f t="shared" si="9"/>
        <v>0</v>
      </c>
      <c r="AE25" s="197">
        <f t="shared" si="9"/>
        <v>0</v>
      </c>
      <c r="AF25" s="197">
        <f t="shared" si="9"/>
        <v>0</v>
      </c>
      <c r="AG25" s="197">
        <f t="shared" si="9"/>
        <v>0</v>
      </c>
      <c r="AH25" s="197">
        <f t="shared" si="9"/>
        <v>0</v>
      </c>
      <c r="AI25" s="197">
        <f t="shared" si="9"/>
        <v>0</v>
      </c>
      <c r="AJ25" s="197">
        <f t="shared" si="9"/>
        <v>0</v>
      </c>
      <c r="AK25" s="197">
        <f t="shared" si="9"/>
        <v>0</v>
      </c>
      <c r="AL25" s="197">
        <f t="shared" si="9"/>
        <v>0</v>
      </c>
      <c r="AM25" s="197">
        <f t="shared" si="9"/>
        <v>0</v>
      </c>
      <c r="AN25" s="197">
        <f t="shared" si="9"/>
        <v>0</v>
      </c>
      <c r="AO25" s="197">
        <f t="shared" si="9"/>
        <v>0</v>
      </c>
      <c r="AP25" s="197">
        <f t="shared" si="9"/>
        <v>0</v>
      </c>
      <c r="AQ25" s="197">
        <f t="shared" si="9"/>
        <v>0</v>
      </c>
      <c r="AR25" s="197">
        <f t="shared" si="9"/>
        <v>0</v>
      </c>
      <c r="AS25" s="198">
        <f t="shared" si="9"/>
        <v>0</v>
      </c>
    </row>
    <row r="26" spans="1:45" ht="6.75" customHeight="1" x14ac:dyDescent="0.2">
      <c r="A26" s="201"/>
      <c r="B26" s="202"/>
      <c r="C26" s="202"/>
      <c r="D26" s="203"/>
      <c r="E26" s="43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4"/>
      <c r="AI26" s="204"/>
      <c r="AJ26" s="204"/>
      <c r="AK26" s="204"/>
      <c r="AL26" s="204"/>
      <c r="AM26" s="204"/>
      <c r="AN26" s="204"/>
      <c r="AO26" s="204"/>
      <c r="AP26" s="204"/>
      <c r="AQ26" s="204"/>
      <c r="AR26" s="204"/>
      <c r="AS26" s="205"/>
    </row>
    <row r="27" spans="1:45" x14ac:dyDescent="0.2">
      <c r="A27" s="206"/>
      <c r="B27" s="180" t="s">
        <v>271</v>
      </c>
      <c r="C27" s="180" t="s">
        <v>272</v>
      </c>
      <c r="D27" s="207">
        <f>NPV(Input_Output!$D$58,F25:AS25)</f>
        <v>-7320761.181668709</v>
      </c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3"/>
    </row>
    <row r="28" spans="1:45" x14ac:dyDescent="0.2">
      <c r="A28" s="191"/>
      <c r="B28" s="190" t="s">
        <v>273</v>
      </c>
      <c r="C28" s="190" t="s">
        <v>274</v>
      </c>
      <c r="D28" s="208">
        <f>NPV(Input_Output!$D$58,F28:AS28)</f>
        <v>0</v>
      </c>
      <c r="E28" s="209"/>
      <c r="F28" s="209">
        <f t="shared" ref="F28:AS28" si="10">(1-tax)*F8*0.001</f>
        <v>0</v>
      </c>
      <c r="G28" s="209">
        <f t="shared" si="10"/>
        <v>0</v>
      </c>
      <c r="H28" s="209">
        <f t="shared" si="10"/>
        <v>0</v>
      </c>
      <c r="I28" s="209">
        <f t="shared" si="10"/>
        <v>0</v>
      </c>
      <c r="J28" s="209">
        <f t="shared" si="10"/>
        <v>0</v>
      </c>
      <c r="K28" s="209">
        <f t="shared" si="10"/>
        <v>0</v>
      </c>
      <c r="L28" s="209">
        <f t="shared" si="10"/>
        <v>0</v>
      </c>
      <c r="M28" s="209">
        <f t="shared" si="10"/>
        <v>0</v>
      </c>
      <c r="N28" s="209">
        <f t="shared" si="10"/>
        <v>0</v>
      </c>
      <c r="O28" s="209">
        <f t="shared" si="10"/>
        <v>0</v>
      </c>
      <c r="P28" s="209">
        <f t="shared" si="10"/>
        <v>0</v>
      </c>
      <c r="Q28" s="209">
        <f t="shared" si="10"/>
        <v>0</v>
      </c>
      <c r="R28" s="209">
        <f t="shared" si="10"/>
        <v>0</v>
      </c>
      <c r="S28" s="209">
        <f t="shared" si="10"/>
        <v>0</v>
      </c>
      <c r="T28" s="209">
        <f t="shared" si="10"/>
        <v>0</v>
      </c>
      <c r="U28" s="209">
        <f t="shared" si="10"/>
        <v>0</v>
      </c>
      <c r="V28" s="209">
        <f t="shared" si="10"/>
        <v>0</v>
      </c>
      <c r="W28" s="209">
        <f t="shared" si="10"/>
        <v>0</v>
      </c>
      <c r="X28" s="209">
        <f t="shared" si="10"/>
        <v>0</v>
      </c>
      <c r="Y28" s="209">
        <f t="shared" si="10"/>
        <v>0</v>
      </c>
      <c r="Z28" s="209">
        <f t="shared" si="10"/>
        <v>0</v>
      </c>
      <c r="AA28" s="209">
        <f t="shared" si="10"/>
        <v>0</v>
      </c>
      <c r="AB28" s="209">
        <f t="shared" si="10"/>
        <v>0</v>
      </c>
      <c r="AC28" s="209">
        <f t="shared" si="10"/>
        <v>0</v>
      </c>
      <c r="AD28" s="209">
        <f t="shared" si="10"/>
        <v>0</v>
      </c>
      <c r="AE28" s="209">
        <f t="shared" si="10"/>
        <v>0</v>
      </c>
      <c r="AF28" s="209">
        <f t="shared" si="10"/>
        <v>0</v>
      </c>
      <c r="AG28" s="209">
        <f t="shared" si="10"/>
        <v>0</v>
      </c>
      <c r="AH28" s="209">
        <f t="shared" si="10"/>
        <v>0</v>
      </c>
      <c r="AI28" s="209">
        <f t="shared" si="10"/>
        <v>0</v>
      </c>
      <c r="AJ28" s="209">
        <f t="shared" si="10"/>
        <v>0</v>
      </c>
      <c r="AK28" s="209">
        <f t="shared" si="10"/>
        <v>0</v>
      </c>
      <c r="AL28" s="209">
        <f t="shared" si="10"/>
        <v>0</v>
      </c>
      <c r="AM28" s="209">
        <f t="shared" si="10"/>
        <v>0</v>
      </c>
      <c r="AN28" s="209">
        <f t="shared" si="10"/>
        <v>0</v>
      </c>
      <c r="AO28" s="209">
        <f t="shared" si="10"/>
        <v>0</v>
      </c>
      <c r="AP28" s="209">
        <f t="shared" si="10"/>
        <v>0</v>
      </c>
      <c r="AQ28" s="209">
        <f t="shared" si="10"/>
        <v>0</v>
      </c>
      <c r="AR28" s="209">
        <f t="shared" si="10"/>
        <v>0</v>
      </c>
      <c r="AS28" s="209">
        <f t="shared" si="10"/>
        <v>0</v>
      </c>
    </row>
    <row r="30" spans="1:45" x14ac:dyDescent="0.2">
      <c r="B30" s="210" t="s">
        <v>275</v>
      </c>
      <c r="C30" s="211">
        <f>(capex_subsurface+capex_power+heat_capex)*1000000</f>
        <v>9838336.2750000004</v>
      </c>
      <c r="D30" s="212" t="s">
        <v>255</v>
      </c>
      <c r="E30" s="213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</row>
    <row r="31" spans="1:45" x14ac:dyDescent="0.2">
      <c r="B31" s="199" t="s">
        <v>276</v>
      </c>
      <c r="C31" s="214">
        <f>(1-tax)*loan_rate*debt_share+equity_share*equity_return</f>
        <v>6.6000000000000003E-2</v>
      </c>
      <c r="D31" s="175"/>
      <c r="G31" s="215"/>
    </row>
    <row r="32" spans="1:45" x14ac:dyDescent="0.2">
      <c r="B32" s="199" t="s">
        <v>277</v>
      </c>
      <c r="C32" s="182">
        <f>C30</f>
        <v>9838336.2750000004</v>
      </c>
      <c r="D32" s="175" t="s">
        <v>255</v>
      </c>
      <c r="E32" s="216"/>
      <c r="G32" s="215"/>
    </row>
    <row r="33" spans="2:8" x14ac:dyDescent="0.2">
      <c r="B33" s="199" t="s">
        <v>278</v>
      </c>
      <c r="C33" s="182">
        <f>IF(fiscal_stimulus="yes",IF(stimulus_perc*C32&gt;stimulus_max*1000000,stimulus_max*1000000,stimulus_perc*C32),0)</f>
        <v>0</v>
      </c>
      <c r="D33" s="175" t="s">
        <v>255</v>
      </c>
      <c r="F33" s="217"/>
    </row>
    <row r="34" spans="2:8" x14ac:dyDescent="0.2">
      <c r="B34" s="199" t="s">
        <v>279</v>
      </c>
      <c r="C34" s="182">
        <f>(C33*tax)/(1+CFpower!C31)</f>
        <v>0</v>
      </c>
      <c r="D34" s="175" t="s">
        <v>255</v>
      </c>
      <c r="F34" s="218"/>
      <c r="G34" s="142"/>
      <c r="H34" s="219"/>
    </row>
    <row r="35" spans="2:8" x14ac:dyDescent="0.2">
      <c r="B35" s="220" t="s">
        <v>280</v>
      </c>
      <c r="C35" s="182">
        <f>C30*debt_share-C34</f>
        <v>7870669.0200000005</v>
      </c>
      <c r="D35" s="175" t="s">
        <v>255</v>
      </c>
    </row>
    <row r="36" spans="2:8" x14ac:dyDescent="0.2">
      <c r="B36" s="221" t="s">
        <v>281</v>
      </c>
      <c r="C36" s="192">
        <f>equity_share*C30</f>
        <v>1967667.2550000001</v>
      </c>
      <c r="D36" s="191" t="s">
        <v>255</v>
      </c>
    </row>
    <row r="38" spans="2:8" x14ac:dyDescent="0.2">
      <c r="C38" s="222"/>
    </row>
    <row r="39" spans="2:8" x14ac:dyDescent="0.2">
      <c r="G39" s="223"/>
    </row>
    <row r="41" spans="2:8" x14ac:dyDescent="0.2">
      <c r="G41" s="223"/>
    </row>
  </sheetData>
  <pageMargins left="0.37986111111111098" right="0.27013888888888898" top="1" bottom="1" header="0.511811023622047" footer="0.5"/>
  <pageSetup paperSize="9" orientation="landscape" horizontalDpi="300" verticalDpi="300"/>
  <headerFooter>
    <oddFooter>&amp;L&amp;D&amp;RVersie 2003.1</oddFooter>
  </headerFooter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1"/>
  <sheetViews>
    <sheetView topLeftCell="A13" zoomScaleNormal="100" workbookViewId="0">
      <selection activeCell="F9" sqref="F9"/>
    </sheetView>
  </sheetViews>
  <sheetFormatPr defaultColWidth="9.140625" defaultRowHeight="12.75" x14ac:dyDescent="0.2"/>
  <cols>
    <col min="1" max="1" width="3.42578125" style="50" customWidth="1"/>
    <col min="2" max="2" width="40.42578125" style="50" customWidth="1"/>
    <col min="3" max="3" width="29.28515625" style="50" customWidth="1"/>
    <col min="4" max="4" width="15.7109375" style="50" customWidth="1"/>
    <col min="5" max="5" width="12.7109375" style="50" customWidth="1"/>
    <col min="6" max="12" width="15.140625" style="50" customWidth="1"/>
    <col min="13" max="45" width="12.7109375" style="50" customWidth="1"/>
    <col min="46" max="256" width="11.42578125" style="50" customWidth="1"/>
    <col min="257" max="16384" width="9.140625" style="50"/>
  </cols>
  <sheetData>
    <row r="1" spans="1:45" s="36" customFormat="1" ht="18" customHeight="1" x14ac:dyDescent="0.25">
      <c r="A1" s="36" t="str">
        <f>Colofon!C2</f>
        <v>Calculation of LCOE of renewable heat and electricity</v>
      </c>
    </row>
    <row r="2" spans="1:45" s="38" customFormat="1" ht="24.75" customHeight="1" x14ac:dyDescent="0.35">
      <c r="A2" s="38" t="s">
        <v>282</v>
      </c>
    </row>
    <row r="3" spans="1:45" x14ac:dyDescent="0.2"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45" x14ac:dyDescent="0.2">
      <c r="A4" s="169"/>
      <c r="B4" s="170" t="s">
        <v>283</v>
      </c>
      <c r="C4" s="171" t="s">
        <v>176</v>
      </c>
      <c r="D4" s="171"/>
      <c r="E4" s="172">
        <v>0</v>
      </c>
      <c r="F4" s="172">
        <v>1</v>
      </c>
      <c r="G4" s="172">
        <v>2</v>
      </c>
      <c r="H4" s="172">
        <v>3</v>
      </c>
      <c r="I4" s="172">
        <v>4</v>
      </c>
      <c r="J4" s="172">
        <v>5</v>
      </c>
      <c r="K4" s="172">
        <v>6</v>
      </c>
      <c r="L4" s="172">
        <v>7</v>
      </c>
      <c r="M4" s="172">
        <v>8</v>
      </c>
      <c r="N4" s="172">
        <v>9</v>
      </c>
      <c r="O4" s="172">
        <v>10</v>
      </c>
      <c r="P4" s="172">
        <v>11</v>
      </c>
      <c r="Q4" s="172">
        <v>12</v>
      </c>
      <c r="R4" s="172">
        <v>13</v>
      </c>
      <c r="S4" s="172">
        <v>14</v>
      </c>
      <c r="T4" s="172">
        <v>15</v>
      </c>
      <c r="U4" s="172">
        <v>16</v>
      </c>
      <c r="V4" s="172">
        <v>17</v>
      </c>
      <c r="W4" s="172">
        <v>18</v>
      </c>
      <c r="X4" s="172">
        <v>19</v>
      </c>
      <c r="Y4" s="172">
        <v>20</v>
      </c>
      <c r="Z4" s="172">
        <v>21</v>
      </c>
      <c r="AA4" s="172">
        <v>22</v>
      </c>
      <c r="AB4" s="172">
        <v>23</v>
      </c>
      <c r="AC4" s="172">
        <v>24</v>
      </c>
      <c r="AD4" s="172">
        <v>25</v>
      </c>
      <c r="AE4" s="172">
        <v>26</v>
      </c>
      <c r="AF4" s="172">
        <v>27</v>
      </c>
      <c r="AG4" s="172">
        <v>28</v>
      </c>
      <c r="AH4" s="172">
        <v>29</v>
      </c>
      <c r="AI4" s="172">
        <v>30</v>
      </c>
      <c r="AJ4" s="172">
        <v>31</v>
      </c>
      <c r="AK4" s="172">
        <v>32</v>
      </c>
      <c r="AL4" s="172">
        <v>33</v>
      </c>
      <c r="AM4" s="172">
        <v>34</v>
      </c>
      <c r="AN4" s="172">
        <v>35</v>
      </c>
      <c r="AO4" s="172">
        <v>36</v>
      </c>
      <c r="AP4" s="172">
        <v>37</v>
      </c>
      <c r="AQ4" s="172">
        <v>38</v>
      </c>
      <c r="AR4" s="172">
        <v>39</v>
      </c>
      <c r="AS4" s="173">
        <v>40</v>
      </c>
    </row>
    <row r="5" spans="1:45" x14ac:dyDescent="0.2">
      <c r="A5" s="174"/>
      <c r="B5" s="174" t="s">
        <v>254</v>
      </c>
      <c r="C5" s="175" t="s">
        <v>255</v>
      </c>
      <c r="D5" s="176"/>
      <c r="E5" s="177">
        <f>-C30</f>
        <v>-9838336.2750000004</v>
      </c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9"/>
    </row>
    <row r="6" spans="1:45" x14ac:dyDescent="0.2">
      <c r="A6" s="180"/>
      <c r="B6" s="175"/>
      <c r="C6" s="181"/>
      <c r="D6" s="181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9"/>
    </row>
    <row r="7" spans="1:45" x14ac:dyDescent="0.2">
      <c r="A7" s="180"/>
      <c r="B7" s="180"/>
      <c r="C7" s="175"/>
      <c r="D7" s="180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82"/>
      <c r="AM7" s="182"/>
      <c r="AN7" s="182"/>
      <c r="AO7" s="182"/>
      <c r="AP7" s="182"/>
      <c r="AQ7" s="182"/>
      <c r="AR7" s="182"/>
      <c r="AS7" s="183"/>
    </row>
    <row r="8" spans="1:45" x14ac:dyDescent="0.2">
      <c r="A8" s="180"/>
      <c r="B8" s="180" t="s">
        <v>284</v>
      </c>
      <c r="C8" s="175" t="s">
        <v>285</v>
      </c>
      <c r="D8" s="180"/>
      <c r="E8" s="182"/>
      <c r="F8" s="182">
        <f t="shared" ref="F8:AS8" si="0">IF(F4&gt;lifetime,0,heat_mwth*coheatloadhours*3.6)</f>
        <v>441264.42360000004</v>
      </c>
      <c r="G8" s="182">
        <f t="shared" si="0"/>
        <v>441264.42360000004</v>
      </c>
      <c r="H8" s="182">
        <f t="shared" si="0"/>
        <v>441264.42360000004</v>
      </c>
      <c r="I8" s="182">
        <f t="shared" si="0"/>
        <v>441264.42360000004</v>
      </c>
      <c r="J8" s="182">
        <f t="shared" si="0"/>
        <v>441264.42360000004</v>
      </c>
      <c r="K8" s="182">
        <f t="shared" si="0"/>
        <v>441264.42360000004</v>
      </c>
      <c r="L8" s="182">
        <f t="shared" si="0"/>
        <v>441264.42360000004</v>
      </c>
      <c r="M8" s="182">
        <f t="shared" si="0"/>
        <v>441264.42360000004</v>
      </c>
      <c r="N8" s="182">
        <f t="shared" si="0"/>
        <v>441264.42360000004</v>
      </c>
      <c r="O8" s="182">
        <f t="shared" si="0"/>
        <v>441264.42360000004</v>
      </c>
      <c r="P8" s="182">
        <f t="shared" si="0"/>
        <v>441264.42360000004</v>
      </c>
      <c r="Q8" s="182">
        <f t="shared" si="0"/>
        <v>441264.42360000004</v>
      </c>
      <c r="R8" s="182">
        <f t="shared" si="0"/>
        <v>441264.42360000004</v>
      </c>
      <c r="S8" s="182">
        <f t="shared" si="0"/>
        <v>441264.42360000004</v>
      </c>
      <c r="T8" s="182">
        <f t="shared" si="0"/>
        <v>441264.42360000004</v>
      </c>
      <c r="U8" s="182">
        <f t="shared" si="0"/>
        <v>0</v>
      </c>
      <c r="V8" s="182">
        <f t="shared" si="0"/>
        <v>0</v>
      </c>
      <c r="W8" s="182">
        <f t="shared" si="0"/>
        <v>0</v>
      </c>
      <c r="X8" s="182">
        <f t="shared" si="0"/>
        <v>0</v>
      </c>
      <c r="Y8" s="182">
        <f t="shared" si="0"/>
        <v>0</v>
      </c>
      <c r="Z8" s="182">
        <f t="shared" si="0"/>
        <v>0</v>
      </c>
      <c r="AA8" s="182">
        <f t="shared" si="0"/>
        <v>0</v>
      </c>
      <c r="AB8" s="182">
        <f t="shared" si="0"/>
        <v>0</v>
      </c>
      <c r="AC8" s="182">
        <f t="shared" si="0"/>
        <v>0</v>
      </c>
      <c r="AD8" s="182">
        <f t="shared" si="0"/>
        <v>0</v>
      </c>
      <c r="AE8" s="182">
        <f t="shared" si="0"/>
        <v>0</v>
      </c>
      <c r="AF8" s="182">
        <f t="shared" si="0"/>
        <v>0</v>
      </c>
      <c r="AG8" s="182">
        <f t="shared" si="0"/>
        <v>0</v>
      </c>
      <c r="AH8" s="182">
        <f t="shared" si="0"/>
        <v>0</v>
      </c>
      <c r="AI8" s="182">
        <f t="shared" si="0"/>
        <v>0</v>
      </c>
      <c r="AJ8" s="182">
        <f t="shared" si="0"/>
        <v>0</v>
      </c>
      <c r="AK8" s="182">
        <f t="shared" si="0"/>
        <v>0</v>
      </c>
      <c r="AL8" s="182">
        <f t="shared" si="0"/>
        <v>0</v>
      </c>
      <c r="AM8" s="182">
        <f t="shared" si="0"/>
        <v>0</v>
      </c>
      <c r="AN8" s="182">
        <f t="shared" si="0"/>
        <v>0</v>
      </c>
      <c r="AO8" s="182">
        <f t="shared" si="0"/>
        <v>0</v>
      </c>
      <c r="AP8" s="182">
        <f t="shared" si="0"/>
        <v>0</v>
      </c>
      <c r="AQ8" s="182">
        <f t="shared" si="0"/>
        <v>0</v>
      </c>
      <c r="AR8" s="182">
        <f t="shared" si="0"/>
        <v>0</v>
      </c>
      <c r="AS8" s="182">
        <f t="shared" si="0"/>
        <v>0</v>
      </c>
    </row>
    <row r="9" spans="1:45" s="189" customFormat="1" x14ac:dyDescent="0.2">
      <c r="A9" s="184"/>
      <c r="B9" s="185" t="s">
        <v>258</v>
      </c>
      <c r="C9" s="186" t="s">
        <v>255</v>
      </c>
      <c r="D9" s="185"/>
      <c r="E9" s="187"/>
      <c r="F9" s="188">
        <f t="shared" ref="F9:AS9" si="1">IF(F4&gt;lifetime,0,-(power_OMfixed*Power*1000+heat_mwth*(coheatloadhours*heat_OMvar+heat_OMfixed*1000)))</f>
        <v>-881950.08822087268</v>
      </c>
      <c r="G9" s="188">
        <f t="shared" si="1"/>
        <v>-881950.08822087268</v>
      </c>
      <c r="H9" s="188">
        <f t="shared" si="1"/>
        <v>-881950.08822087268</v>
      </c>
      <c r="I9" s="188">
        <f t="shared" si="1"/>
        <v>-881950.08822087268</v>
      </c>
      <c r="J9" s="188">
        <f t="shared" si="1"/>
        <v>-881950.08822087268</v>
      </c>
      <c r="K9" s="188">
        <f t="shared" si="1"/>
        <v>-881950.08822087268</v>
      </c>
      <c r="L9" s="188">
        <f t="shared" si="1"/>
        <v>-881950.08822087268</v>
      </c>
      <c r="M9" s="188">
        <f t="shared" si="1"/>
        <v>-881950.08822087268</v>
      </c>
      <c r="N9" s="188">
        <f t="shared" si="1"/>
        <v>-881950.08822087268</v>
      </c>
      <c r="O9" s="188">
        <f t="shared" si="1"/>
        <v>-881950.08822087268</v>
      </c>
      <c r="P9" s="188">
        <f t="shared" si="1"/>
        <v>-881950.08822087268</v>
      </c>
      <c r="Q9" s="188">
        <f t="shared" si="1"/>
        <v>-881950.08822087268</v>
      </c>
      <c r="R9" s="188">
        <f t="shared" si="1"/>
        <v>-881950.08822087268</v>
      </c>
      <c r="S9" s="188">
        <f t="shared" si="1"/>
        <v>-881950.08822087268</v>
      </c>
      <c r="T9" s="188">
        <f t="shared" si="1"/>
        <v>-881950.08822087268</v>
      </c>
      <c r="U9" s="188">
        <f t="shared" si="1"/>
        <v>0</v>
      </c>
      <c r="V9" s="188">
        <f t="shared" si="1"/>
        <v>0</v>
      </c>
      <c r="W9" s="188">
        <f t="shared" si="1"/>
        <v>0</v>
      </c>
      <c r="X9" s="188">
        <f t="shared" si="1"/>
        <v>0</v>
      </c>
      <c r="Y9" s="188">
        <f t="shared" si="1"/>
        <v>0</v>
      </c>
      <c r="Z9" s="188">
        <f t="shared" si="1"/>
        <v>0</v>
      </c>
      <c r="AA9" s="188">
        <f t="shared" si="1"/>
        <v>0</v>
      </c>
      <c r="AB9" s="188">
        <f t="shared" si="1"/>
        <v>0</v>
      </c>
      <c r="AC9" s="188">
        <f t="shared" si="1"/>
        <v>0</v>
      </c>
      <c r="AD9" s="188">
        <f t="shared" si="1"/>
        <v>0</v>
      </c>
      <c r="AE9" s="188">
        <f t="shared" si="1"/>
        <v>0</v>
      </c>
      <c r="AF9" s="188">
        <f t="shared" si="1"/>
        <v>0</v>
      </c>
      <c r="AG9" s="188">
        <f t="shared" si="1"/>
        <v>0</v>
      </c>
      <c r="AH9" s="188">
        <f t="shared" si="1"/>
        <v>0</v>
      </c>
      <c r="AI9" s="188">
        <f t="shared" si="1"/>
        <v>0</v>
      </c>
      <c r="AJ9" s="188">
        <f t="shared" si="1"/>
        <v>0</v>
      </c>
      <c r="AK9" s="188">
        <f t="shared" si="1"/>
        <v>0</v>
      </c>
      <c r="AL9" s="188">
        <f t="shared" si="1"/>
        <v>0</v>
      </c>
      <c r="AM9" s="188">
        <f t="shared" si="1"/>
        <v>0</v>
      </c>
      <c r="AN9" s="188">
        <f t="shared" si="1"/>
        <v>0</v>
      </c>
      <c r="AO9" s="188">
        <f t="shared" si="1"/>
        <v>0</v>
      </c>
      <c r="AP9" s="188">
        <f t="shared" si="1"/>
        <v>0</v>
      </c>
      <c r="AQ9" s="188">
        <f t="shared" si="1"/>
        <v>0</v>
      </c>
      <c r="AR9" s="188">
        <f t="shared" si="1"/>
        <v>0</v>
      </c>
      <c r="AS9" s="188">
        <f t="shared" si="1"/>
        <v>0</v>
      </c>
    </row>
    <row r="10" spans="1:45" s="189" customFormat="1" x14ac:dyDescent="0.2">
      <c r="A10" s="184"/>
      <c r="B10" s="185" t="s">
        <v>259</v>
      </c>
      <c r="C10" s="186" t="s">
        <v>255</v>
      </c>
      <c r="D10" s="185"/>
      <c r="E10" s="187"/>
      <c r="F10" s="187"/>
      <c r="G10" s="187"/>
      <c r="H10" s="187"/>
      <c r="I10" s="187"/>
      <c r="J10" s="187">
        <f>-pumpcost2*1000000</f>
        <v>-300000</v>
      </c>
      <c r="K10" s="187"/>
      <c r="L10" s="187"/>
      <c r="M10" s="187"/>
      <c r="N10" s="187"/>
      <c r="O10" s="187">
        <f>-pumpcost2*1000000</f>
        <v>-300000</v>
      </c>
      <c r="P10" s="187"/>
      <c r="Q10" s="187"/>
      <c r="R10" s="187"/>
      <c r="S10" s="187"/>
      <c r="T10" s="187">
        <f>-pumpcost2*1000000</f>
        <v>-300000</v>
      </c>
      <c r="U10" s="187"/>
      <c r="V10" s="187"/>
      <c r="W10" s="187"/>
      <c r="X10" s="187"/>
      <c r="Y10" s="187">
        <f>-pumpcost2*pumps*1000000*0.5</f>
        <v>-300000</v>
      </c>
      <c r="Z10" s="187"/>
      <c r="AA10" s="187"/>
      <c r="AB10" s="187"/>
      <c r="AC10" s="187"/>
      <c r="AD10" s="187">
        <f>-pumpcost2*1000000</f>
        <v>-300000</v>
      </c>
      <c r="AE10" s="187"/>
      <c r="AF10" s="187"/>
      <c r="AG10" s="187"/>
      <c r="AH10" s="187"/>
      <c r="AI10" s="187">
        <f>-pumpcost2*1000000</f>
        <v>-300000</v>
      </c>
      <c r="AJ10" s="187"/>
      <c r="AK10" s="187"/>
      <c r="AL10" s="187"/>
      <c r="AM10" s="187"/>
      <c r="AN10" s="187">
        <f>-pumpcost2*1000000</f>
        <v>-300000</v>
      </c>
      <c r="AO10" s="187"/>
      <c r="AP10" s="187"/>
      <c r="AQ10" s="187"/>
      <c r="AR10" s="187"/>
      <c r="AS10" s="187">
        <f>-pumpcost2*1000000</f>
        <v>-300000</v>
      </c>
    </row>
    <row r="11" spans="1:45" x14ac:dyDescent="0.2">
      <c r="A11" s="180"/>
      <c r="B11" s="175" t="s">
        <v>260</v>
      </c>
      <c r="C11" s="175" t="s">
        <v>255</v>
      </c>
      <c r="D11" s="175"/>
      <c r="E11" s="182"/>
      <c r="F11" s="182">
        <f t="shared" ref="F11:AS11" si="2">coheat_feedin*F8+Power*power_loadhours*power_feedin*3.6</f>
        <v>0</v>
      </c>
      <c r="G11" s="182">
        <f t="shared" si="2"/>
        <v>0</v>
      </c>
      <c r="H11" s="182">
        <f t="shared" si="2"/>
        <v>0</v>
      </c>
      <c r="I11" s="182">
        <f t="shared" si="2"/>
        <v>0</v>
      </c>
      <c r="J11" s="182">
        <f t="shared" si="2"/>
        <v>0</v>
      </c>
      <c r="K11" s="182">
        <f t="shared" si="2"/>
        <v>0</v>
      </c>
      <c r="L11" s="182">
        <f t="shared" si="2"/>
        <v>0</v>
      </c>
      <c r="M11" s="182">
        <f t="shared" si="2"/>
        <v>0</v>
      </c>
      <c r="N11" s="182">
        <f t="shared" si="2"/>
        <v>0</v>
      </c>
      <c r="O11" s="182">
        <f t="shared" si="2"/>
        <v>0</v>
      </c>
      <c r="P11" s="182">
        <f t="shared" si="2"/>
        <v>0</v>
      </c>
      <c r="Q11" s="182">
        <f t="shared" si="2"/>
        <v>0</v>
      </c>
      <c r="R11" s="182">
        <f t="shared" si="2"/>
        <v>0</v>
      </c>
      <c r="S11" s="182">
        <f t="shared" si="2"/>
        <v>0</v>
      </c>
      <c r="T11" s="182">
        <f t="shared" si="2"/>
        <v>0</v>
      </c>
      <c r="U11" s="182">
        <f t="shared" si="2"/>
        <v>0</v>
      </c>
      <c r="V11" s="182">
        <f t="shared" si="2"/>
        <v>0</v>
      </c>
      <c r="W11" s="182">
        <f t="shared" si="2"/>
        <v>0</v>
      </c>
      <c r="X11" s="182">
        <f t="shared" si="2"/>
        <v>0</v>
      </c>
      <c r="Y11" s="182">
        <f t="shared" si="2"/>
        <v>0</v>
      </c>
      <c r="Z11" s="182">
        <f t="shared" si="2"/>
        <v>0</v>
      </c>
      <c r="AA11" s="182">
        <f t="shared" si="2"/>
        <v>0</v>
      </c>
      <c r="AB11" s="182">
        <f t="shared" si="2"/>
        <v>0</v>
      </c>
      <c r="AC11" s="182">
        <f t="shared" si="2"/>
        <v>0</v>
      </c>
      <c r="AD11" s="182">
        <f t="shared" si="2"/>
        <v>0</v>
      </c>
      <c r="AE11" s="182">
        <f t="shared" si="2"/>
        <v>0</v>
      </c>
      <c r="AF11" s="182">
        <f t="shared" si="2"/>
        <v>0</v>
      </c>
      <c r="AG11" s="182">
        <f t="shared" si="2"/>
        <v>0</v>
      </c>
      <c r="AH11" s="182">
        <f t="shared" si="2"/>
        <v>0</v>
      </c>
      <c r="AI11" s="182">
        <f t="shared" si="2"/>
        <v>0</v>
      </c>
      <c r="AJ11" s="182">
        <f t="shared" si="2"/>
        <v>0</v>
      </c>
      <c r="AK11" s="182">
        <f t="shared" si="2"/>
        <v>0</v>
      </c>
      <c r="AL11" s="182">
        <f t="shared" si="2"/>
        <v>0</v>
      </c>
      <c r="AM11" s="182">
        <f t="shared" si="2"/>
        <v>0</v>
      </c>
      <c r="AN11" s="182">
        <f t="shared" si="2"/>
        <v>0</v>
      </c>
      <c r="AO11" s="182">
        <f t="shared" si="2"/>
        <v>0</v>
      </c>
      <c r="AP11" s="182">
        <f t="shared" si="2"/>
        <v>0</v>
      </c>
      <c r="AQ11" s="182">
        <f t="shared" si="2"/>
        <v>0</v>
      </c>
      <c r="AR11" s="182">
        <f t="shared" si="2"/>
        <v>0</v>
      </c>
      <c r="AS11" s="182">
        <f t="shared" si="2"/>
        <v>0</v>
      </c>
    </row>
    <row r="12" spans="1:45" x14ac:dyDescent="0.2">
      <c r="A12" s="180"/>
      <c r="B12" s="175"/>
      <c r="C12" s="175"/>
      <c r="D12" s="175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3"/>
    </row>
    <row r="13" spans="1:45" x14ac:dyDescent="0.2">
      <c r="A13" s="180"/>
      <c r="B13" s="175" t="s">
        <v>261</v>
      </c>
      <c r="C13" s="175" t="s">
        <v>255</v>
      </c>
      <c r="D13" s="175"/>
      <c r="E13" s="182"/>
      <c r="F13" s="182">
        <f t="shared" ref="F13:AS13" si="3">IF(F4&gt;lifetime,0,POWER(1+inflation,F4-$F$4)*SUM(F11:F11))</f>
        <v>0</v>
      </c>
      <c r="G13" s="182">
        <f t="shared" si="3"/>
        <v>0</v>
      </c>
      <c r="H13" s="182">
        <f t="shared" si="3"/>
        <v>0</v>
      </c>
      <c r="I13" s="182">
        <f t="shared" si="3"/>
        <v>0</v>
      </c>
      <c r="J13" s="182">
        <f t="shared" si="3"/>
        <v>0</v>
      </c>
      <c r="K13" s="182">
        <f t="shared" si="3"/>
        <v>0</v>
      </c>
      <c r="L13" s="182">
        <f t="shared" si="3"/>
        <v>0</v>
      </c>
      <c r="M13" s="182">
        <f t="shared" si="3"/>
        <v>0</v>
      </c>
      <c r="N13" s="182">
        <f t="shared" si="3"/>
        <v>0</v>
      </c>
      <c r="O13" s="182">
        <f t="shared" si="3"/>
        <v>0</v>
      </c>
      <c r="P13" s="182">
        <f t="shared" si="3"/>
        <v>0</v>
      </c>
      <c r="Q13" s="182">
        <f t="shared" si="3"/>
        <v>0</v>
      </c>
      <c r="R13" s="182">
        <f t="shared" si="3"/>
        <v>0</v>
      </c>
      <c r="S13" s="182">
        <f t="shared" si="3"/>
        <v>0</v>
      </c>
      <c r="T13" s="182">
        <f t="shared" si="3"/>
        <v>0</v>
      </c>
      <c r="U13" s="182">
        <f t="shared" si="3"/>
        <v>0</v>
      </c>
      <c r="V13" s="182">
        <f t="shared" si="3"/>
        <v>0</v>
      </c>
      <c r="W13" s="182">
        <f t="shared" si="3"/>
        <v>0</v>
      </c>
      <c r="X13" s="182">
        <f t="shared" si="3"/>
        <v>0</v>
      </c>
      <c r="Y13" s="182">
        <f t="shared" si="3"/>
        <v>0</v>
      </c>
      <c r="Z13" s="182">
        <f t="shared" si="3"/>
        <v>0</v>
      </c>
      <c r="AA13" s="182">
        <f t="shared" si="3"/>
        <v>0</v>
      </c>
      <c r="AB13" s="182">
        <f t="shared" si="3"/>
        <v>0</v>
      </c>
      <c r="AC13" s="182">
        <f t="shared" si="3"/>
        <v>0</v>
      </c>
      <c r="AD13" s="182">
        <f t="shared" si="3"/>
        <v>0</v>
      </c>
      <c r="AE13" s="182">
        <f t="shared" si="3"/>
        <v>0</v>
      </c>
      <c r="AF13" s="182">
        <f t="shared" si="3"/>
        <v>0</v>
      </c>
      <c r="AG13" s="182">
        <f t="shared" si="3"/>
        <v>0</v>
      </c>
      <c r="AH13" s="182">
        <f t="shared" si="3"/>
        <v>0</v>
      </c>
      <c r="AI13" s="182">
        <f t="shared" si="3"/>
        <v>0</v>
      </c>
      <c r="AJ13" s="182">
        <f t="shared" si="3"/>
        <v>0</v>
      </c>
      <c r="AK13" s="182">
        <f t="shared" si="3"/>
        <v>0</v>
      </c>
      <c r="AL13" s="182">
        <f t="shared" si="3"/>
        <v>0</v>
      </c>
      <c r="AM13" s="182">
        <f t="shared" si="3"/>
        <v>0</v>
      </c>
      <c r="AN13" s="182">
        <f t="shared" si="3"/>
        <v>0</v>
      </c>
      <c r="AO13" s="182">
        <f t="shared" si="3"/>
        <v>0</v>
      </c>
      <c r="AP13" s="182">
        <f t="shared" si="3"/>
        <v>0</v>
      </c>
      <c r="AQ13" s="182">
        <f t="shared" si="3"/>
        <v>0</v>
      </c>
      <c r="AR13" s="182">
        <f t="shared" si="3"/>
        <v>0</v>
      </c>
      <c r="AS13" s="182">
        <f t="shared" si="3"/>
        <v>0</v>
      </c>
    </row>
    <row r="14" spans="1:45" x14ac:dyDescent="0.2">
      <c r="A14" s="190"/>
      <c r="B14" s="191" t="s">
        <v>262</v>
      </c>
      <c r="C14" s="191" t="s">
        <v>255</v>
      </c>
      <c r="D14" s="191"/>
      <c r="E14" s="192"/>
      <c r="F14" s="193">
        <f t="shared" ref="F14:AS14" si="4">IF(F4&gt;lifetime,0,POWER(1+inflation,F4-$F$4)*SUM(F9:F10))</f>
        <v>-881950.08822087268</v>
      </c>
      <c r="G14" s="192">
        <f t="shared" si="4"/>
        <v>-881950.08822087268</v>
      </c>
      <c r="H14" s="192">
        <f t="shared" si="4"/>
        <v>-881950.08822087268</v>
      </c>
      <c r="I14" s="192">
        <f t="shared" si="4"/>
        <v>-881950.08822087268</v>
      </c>
      <c r="J14" s="192">
        <f t="shared" si="4"/>
        <v>-1181950.0882208727</v>
      </c>
      <c r="K14" s="192">
        <f t="shared" si="4"/>
        <v>-881950.08822087268</v>
      </c>
      <c r="L14" s="192">
        <f t="shared" si="4"/>
        <v>-881950.08822087268</v>
      </c>
      <c r="M14" s="192">
        <f t="shared" si="4"/>
        <v>-881950.08822087268</v>
      </c>
      <c r="N14" s="192">
        <f t="shared" si="4"/>
        <v>-881950.08822087268</v>
      </c>
      <c r="O14" s="192">
        <f t="shared" si="4"/>
        <v>-1181950.0882208727</v>
      </c>
      <c r="P14" s="192">
        <f t="shared" si="4"/>
        <v>-881950.08822087268</v>
      </c>
      <c r="Q14" s="192">
        <f t="shared" si="4"/>
        <v>-881950.08822087268</v>
      </c>
      <c r="R14" s="192">
        <f t="shared" si="4"/>
        <v>-881950.08822087268</v>
      </c>
      <c r="S14" s="192">
        <f t="shared" si="4"/>
        <v>-881950.08822087268</v>
      </c>
      <c r="T14" s="192">
        <f t="shared" si="4"/>
        <v>-1181950.0882208727</v>
      </c>
      <c r="U14" s="192">
        <f t="shared" si="4"/>
        <v>0</v>
      </c>
      <c r="V14" s="192">
        <f t="shared" si="4"/>
        <v>0</v>
      </c>
      <c r="W14" s="192">
        <f t="shared" si="4"/>
        <v>0</v>
      </c>
      <c r="X14" s="192">
        <f t="shared" si="4"/>
        <v>0</v>
      </c>
      <c r="Y14" s="192">
        <f t="shared" si="4"/>
        <v>0</v>
      </c>
      <c r="Z14" s="192">
        <f t="shared" si="4"/>
        <v>0</v>
      </c>
      <c r="AA14" s="192">
        <f t="shared" si="4"/>
        <v>0</v>
      </c>
      <c r="AB14" s="192">
        <f t="shared" si="4"/>
        <v>0</v>
      </c>
      <c r="AC14" s="192">
        <f t="shared" si="4"/>
        <v>0</v>
      </c>
      <c r="AD14" s="192">
        <f t="shared" si="4"/>
        <v>0</v>
      </c>
      <c r="AE14" s="192">
        <f t="shared" si="4"/>
        <v>0</v>
      </c>
      <c r="AF14" s="192">
        <f t="shared" si="4"/>
        <v>0</v>
      </c>
      <c r="AG14" s="192">
        <f t="shared" si="4"/>
        <v>0</v>
      </c>
      <c r="AH14" s="192">
        <f t="shared" si="4"/>
        <v>0</v>
      </c>
      <c r="AI14" s="192">
        <f t="shared" si="4"/>
        <v>0</v>
      </c>
      <c r="AJ14" s="192">
        <f t="shared" si="4"/>
        <v>0</v>
      </c>
      <c r="AK14" s="192">
        <f t="shared" si="4"/>
        <v>0</v>
      </c>
      <c r="AL14" s="192">
        <f t="shared" si="4"/>
        <v>0</v>
      </c>
      <c r="AM14" s="192">
        <f t="shared" si="4"/>
        <v>0</v>
      </c>
      <c r="AN14" s="192">
        <f t="shared" si="4"/>
        <v>0</v>
      </c>
      <c r="AO14" s="192">
        <f t="shared" si="4"/>
        <v>0</v>
      </c>
      <c r="AP14" s="192">
        <f t="shared" si="4"/>
        <v>0</v>
      </c>
      <c r="AQ14" s="192">
        <f t="shared" si="4"/>
        <v>0</v>
      </c>
      <c r="AR14" s="192">
        <f t="shared" si="4"/>
        <v>0</v>
      </c>
      <c r="AS14" s="194">
        <f t="shared" si="4"/>
        <v>0</v>
      </c>
    </row>
    <row r="15" spans="1:45" x14ac:dyDescent="0.2">
      <c r="A15" s="195"/>
      <c r="B15" s="195" t="s">
        <v>263</v>
      </c>
      <c r="C15" s="196" t="s">
        <v>255</v>
      </c>
      <c r="D15" s="196"/>
      <c r="E15" s="197"/>
      <c r="F15" s="197">
        <f t="shared" ref="F15:AS15" si="5">SUM(F13:F14)</f>
        <v>-881950.08822087268</v>
      </c>
      <c r="G15" s="197">
        <f t="shared" si="5"/>
        <v>-881950.08822087268</v>
      </c>
      <c r="H15" s="197">
        <f t="shared" si="5"/>
        <v>-881950.08822087268</v>
      </c>
      <c r="I15" s="197">
        <f t="shared" si="5"/>
        <v>-881950.08822087268</v>
      </c>
      <c r="J15" s="197">
        <f t="shared" si="5"/>
        <v>-1181950.0882208727</v>
      </c>
      <c r="K15" s="197">
        <f t="shared" si="5"/>
        <v>-881950.08822087268</v>
      </c>
      <c r="L15" s="197">
        <f t="shared" si="5"/>
        <v>-881950.08822087268</v>
      </c>
      <c r="M15" s="197">
        <f t="shared" si="5"/>
        <v>-881950.08822087268</v>
      </c>
      <c r="N15" s="197">
        <f t="shared" si="5"/>
        <v>-881950.08822087268</v>
      </c>
      <c r="O15" s="197">
        <f t="shared" si="5"/>
        <v>-1181950.0882208727</v>
      </c>
      <c r="P15" s="197">
        <f t="shared" si="5"/>
        <v>-881950.08822087268</v>
      </c>
      <c r="Q15" s="197">
        <f t="shared" si="5"/>
        <v>-881950.08822087268</v>
      </c>
      <c r="R15" s="197">
        <f t="shared" si="5"/>
        <v>-881950.08822087268</v>
      </c>
      <c r="S15" s="197">
        <f t="shared" si="5"/>
        <v>-881950.08822087268</v>
      </c>
      <c r="T15" s="197">
        <f t="shared" si="5"/>
        <v>-1181950.0882208727</v>
      </c>
      <c r="U15" s="197">
        <f t="shared" si="5"/>
        <v>0</v>
      </c>
      <c r="V15" s="197">
        <f t="shared" si="5"/>
        <v>0</v>
      </c>
      <c r="W15" s="197">
        <f t="shared" si="5"/>
        <v>0</v>
      </c>
      <c r="X15" s="197">
        <f t="shared" si="5"/>
        <v>0</v>
      </c>
      <c r="Y15" s="197">
        <f t="shared" si="5"/>
        <v>0</v>
      </c>
      <c r="Z15" s="197">
        <f t="shared" si="5"/>
        <v>0</v>
      </c>
      <c r="AA15" s="197">
        <f t="shared" si="5"/>
        <v>0</v>
      </c>
      <c r="AB15" s="197">
        <f t="shared" si="5"/>
        <v>0</v>
      </c>
      <c r="AC15" s="197">
        <f t="shared" si="5"/>
        <v>0</v>
      </c>
      <c r="AD15" s="197">
        <f t="shared" si="5"/>
        <v>0</v>
      </c>
      <c r="AE15" s="197">
        <f t="shared" si="5"/>
        <v>0</v>
      </c>
      <c r="AF15" s="197">
        <f t="shared" si="5"/>
        <v>0</v>
      </c>
      <c r="AG15" s="197">
        <f t="shared" si="5"/>
        <v>0</v>
      </c>
      <c r="AH15" s="197">
        <f t="shared" si="5"/>
        <v>0</v>
      </c>
      <c r="AI15" s="197">
        <f t="shared" si="5"/>
        <v>0</v>
      </c>
      <c r="AJ15" s="197">
        <f t="shared" si="5"/>
        <v>0</v>
      </c>
      <c r="AK15" s="197">
        <f t="shared" si="5"/>
        <v>0</v>
      </c>
      <c r="AL15" s="197">
        <f t="shared" si="5"/>
        <v>0</v>
      </c>
      <c r="AM15" s="197">
        <f t="shared" si="5"/>
        <v>0</v>
      </c>
      <c r="AN15" s="197">
        <f t="shared" si="5"/>
        <v>0</v>
      </c>
      <c r="AO15" s="197">
        <f t="shared" si="5"/>
        <v>0</v>
      </c>
      <c r="AP15" s="197">
        <f t="shared" si="5"/>
        <v>0</v>
      </c>
      <c r="AQ15" s="197">
        <f t="shared" si="5"/>
        <v>0</v>
      </c>
      <c r="AR15" s="197">
        <f t="shared" si="5"/>
        <v>0</v>
      </c>
      <c r="AS15" s="198">
        <f t="shared" si="5"/>
        <v>0</v>
      </c>
    </row>
    <row r="16" spans="1:45" s="200" customFormat="1" x14ac:dyDescent="0.2">
      <c r="A16" s="199"/>
      <c r="B16" s="180"/>
      <c r="C16" s="175"/>
      <c r="D16" s="175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3"/>
    </row>
    <row r="17" spans="1:45" x14ac:dyDescent="0.2">
      <c r="A17" s="180"/>
      <c r="B17" s="180" t="s">
        <v>264</v>
      </c>
      <c r="C17" s="175" t="s">
        <v>255</v>
      </c>
      <c r="D17" s="175"/>
      <c r="E17" s="182"/>
      <c r="F17" s="182">
        <f t="shared" ref="F17:AS17" si="6">IF(F4&gt;depreciation_time,0,-$C$30/depreciation_time)</f>
        <v>-655889.08500000008</v>
      </c>
      <c r="G17" s="182">
        <f t="shared" si="6"/>
        <v>-655889.08500000008</v>
      </c>
      <c r="H17" s="182">
        <f t="shared" si="6"/>
        <v>-655889.08500000008</v>
      </c>
      <c r="I17" s="182">
        <f t="shared" si="6"/>
        <v>-655889.08500000008</v>
      </c>
      <c r="J17" s="182">
        <f t="shared" si="6"/>
        <v>-655889.08500000008</v>
      </c>
      <c r="K17" s="182">
        <f t="shared" si="6"/>
        <v>-655889.08500000008</v>
      </c>
      <c r="L17" s="182">
        <f t="shared" si="6"/>
        <v>-655889.08500000008</v>
      </c>
      <c r="M17" s="182">
        <f t="shared" si="6"/>
        <v>-655889.08500000008</v>
      </c>
      <c r="N17" s="182">
        <f t="shared" si="6"/>
        <v>-655889.08500000008</v>
      </c>
      <c r="O17" s="182">
        <f t="shared" si="6"/>
        <v>-655889.08500000008</v>
      </c>
      <c r="P17" s="182">
        <f t="shared" si="6"/>
        <v>-655889.08500000008</v>
      </c>
      <c r="Q17" s="182">
        <f t="shared" si="6"/>
        <v>-655889.08500000008</v>
      </c>
      <c r="R17" s="182">
        <f t="shared" si="6"/>
        <v>-655889.08500000008</v>
      </c>
      <c r="S17" s="182">
        <f t="shared" si="6"/>
        <v>-655889.08500000008</v>
      </c>
      <c r="T17" s="182">
        <f t="shared" si="6"/>
        <v>-655889.08500000008</v>
      </c>
      <c r="U17" s="182">
        <f t="shared" si="6"/>
        <v>0</v>
      </c>
      <c r="V17" s="182">
        <f t="shared" si="6"/>
        <v>0</v>
      </c>
      <c r="W17" s="182">
        <f t="shared" si="6"/>
        <v>0</v>
      </c>
      <c r="X17" s="182">
        <f t="shared" si="6"/>
        <v>0</v>
      </c>
      <c r="Y17" s="182">
        <f t="shared" si="6"/>
        <v>0</v>
      </c>
      <c r="Z17" s="182">
        <f t="shared" si="6"/>
        <v>0</v>
      </c>
      <c r="AA17" s="182">
        <f t="shared" si="6"/>
        <v>0</v>
      </c>
      <c r="AB17" s="182">
        <f t="shared" si="6"/>
        <v>0</v>
      </c>
      <c r="AC17" s="182">
        <f t="shared" si="6"/>
        <v>0</v>
      </c>
      <c r="AD17" s="182">
        <f t="shared" si="6"/>
        <v>0</v>
      </c>
      <c r="AE17" s="182">
        <f t="shared" si="6"/>
        <v>0</v>
      </c>
      <c r="AF17" s="182">
        <f t="shared" si="6"/>
        <v>0</v>
      </c>
      <c r="AG17" s="182">
        <f t="shared" si="6"/>
        <v>0</v>
      </c>
      <c r="AH17" s="182">
        <f t="shared" si="6"/>
        <v>0</v>
      </c>
      <c r="AI17" s="182">
        <f t="shared" si="6"/>
        <v>0</v>
      </c>
      <c r="AJ17" s="182">
        <f t="shared" si="6"/>
        <v>0</v>
      </c>
      <c r="AK17" s="182">
        <f t="shared" si="6"/>
        <v>0</v>
      </c>
      <c r="AL17" s="182">
        <f t="shared" si="6"/>
        <v>0</v>
      </c>
      <c r="AM17" s="182">
        <f t="shared" si="6"/>
        <v>0</v>
      </c>
      <c r="AN17" s="182">
        <f t="shared" si="6"/>
        <v>0</v>
      </c>
      <c r="AO17" s="182">
        <f t="shared" si="6"/>
        <v>0</v>
      </c>
      <c r="AP17" s="182">
        <f t="shared" si="6"/>
        <v>0</v>
      </c>
      <c r="AQ17" s="182">
        <f t="shared" si="6"/>
        <v>0</v>
      </c>
      <c r="AR17" s="182">
        <f t="shared" si="6"/>
        <v>0</v>
      </c>
      <c r="AS17" s="182">
        <f t="shared" si="6"/>
        <v>0</v>
      </c>
    </row>
    <row r="18" spans="1:45" x14ac:dyDescent="0.2">
      <c r="A18" s="180"/>
      <c r="B18" s="180" t="s">
        <v>265</v>
      </c>
      <c r="C18" s="180" t="s">
        <v>255</v>
      </c>
      <c r="D18" s="180"/>
      <c r="E18" s="182"/>
      <c r="F18" s="182">
        <f>IF(F4&gt;term_loan,0,IPMT(Input_Output!$D$57,F4,term_loan,CFpower!$C$35))</f>
        <v>-472240.14120000001</v>
      </c>
      <c r="G18" s="182">
        <f>IF(G4&gt;term_loan,0,IPMT(Input_Output!$D$57,G4,term_loan,CFpower!$C$35))</f>
        <v>-451951.39948340075</v>
      </c>
      <c r="H18" s="182">
        <f>IF(H4&gt;term_loan,0,IPMT(Input_Output!$D$57,H4,term_loan,CFpower!$C$35))</f>
        <v>-430445.33326380578</v>
      </c>
      <c r="I18" s="182">
        <f>IF(I4&gt;term_loan,0,IPMT(Input_Output!$D$57,I4,term_loan,CFpower!$C$35))</f>
        <v>-407648.90307103493</v>
      </c>
      <c r="J18" s="182">
        <f>IF(J4&gt;term_loan,0,IPMT(Input_Output!$D$57,J4,term_loan,CFpower!$C$35))</f>
        <v>-383484.68706669792</v>
      </c>
      <c r="K18" s="182">
        <f>IF(K4&gt;term_loan,0,IPMT(Input_Output!$D$57,K4,term_loan,CFpower!$C$35))</f>
        <v>-357870.61810210062</v>
      </c>
      <c r="L18" s="182">
        <f>IF(L4&gt;term_loan,0,IPMT(Input_Output!$D$57,L4,term_loan,CFpower!$C$35))</f>
        <v>-330719.70499962755</v>
      </c>
      <c r="M18" s="182">
        <f>IF(M4&gt;term_loan,0,IPMT(Input_Output!$D$57,M4,term_loan,CFpower!$C$35))</f>
        <v>-301939.73711100593</v>
      </c>
      <c r="N18" s="182">
        <f>IF(N4&gt;term_loan,0,IPMT(Input_Output!$D$57,N4,term_loan,CFpower!$C$35))</f>
        <v>-271432.97114906728</v>
      </c>
      <c r="O18" s="182">
        <f>IF(O4&gt;term_loan,0,IPMT(Input_Output!$D$57,O4,term_loan,CFpower!$C$35))</f>
        <v>-239095.79922941211</v>
      </c>
      <c r="P18" s="182">
        <f>IF(P4&gt;term_loan,0,IPMT(Input_Output!$D$57,P4,term_loan,CFpower!$C$35))</f>
        <v>-204818.39699457775</v>
      </c>
      <c r="Q18" s="182">
        <f>IF(Q4&gt;term_loan,0,IPMT(Input_Output!$D$57,Q4,term_loan,CFpower!$C$35))</f>
        <v>-168484.35062565326</v>
      </c>
      <c r="R18" s="182">
        <f>IF(R4&gt;term_loan,0,IPMT(Input_Output!$D$57,R4,term_loan,CFpower!$C$35))</f>
        <v>-129970.2614745933</v>
      </c>
      <c r="S18" s="182">
        <f>IF(S4&gt;term_loan,0,IPMT(Input_Output!$D$57,S4,term_loan,CFpower!$C$35))</f>
        <v>-89145.326974469761</v>
      </c>
      <c r="T18" s="182">
        <f>IF(T4&gt;term_loan,0,IPMT(Input_Output!$D$57,T4,term_loan,CFpower!$C$35))</f>
        <v>-45870.896404338811</v>
      </c>
      <c r="U18" s="182">
        <f>IF(U4&gt;term_loan,0,IPMT(Input_Output!$D$57,U4,term_loan,CFpower!$C$35))</f>
        <v>0</v>
      </c>
      <c r="V18" s="182">
        <f>IF(V4&gt;term_loan,0,IPMT(Input_Output!$D$57,V4,term_loan,CFpower!$C$35))</f>
        <v>0</v>
      </c>
      <c r="W18" s="182">
        <f>IF(W4&gt;term_loan,0,IPMT(Input_Output!$D$57,W4,term_loan,CFpower!$C$35))</f>
        <v>0</v>
      </c>
      <c r="X18" s="182">
        <f>IF(X4&gt;term_loan,0,IPMT(Input_Output!$D$57,X4,term_loan,CFpower!$C$35))</f>
        <v>0</v>
      </c>
      <c r="Y18" s="182">
        <f>IF(Y4&gt;term_loan,0,IPMT(Input_Output!$D$57,Y4,term_loan,CFpower!$C$35))</f>
        <v>0</v>
      </c>
      <c r="Z18" s="182">
        <f>IF(Z4&gt;term_loan,0,IPMT(Input_Output!$D$57,Z4,term_loan,CFpower!$C$35))</f>
        <v>0</v>
      </c>
      <c r="AA18" s="182">
        <f>IF(AA4&gt;term_loan,0,IPMT(Input_Output!$D$57,AA4,term_loan,CFpower!$C$35))</f>
        <v>0</v>
      </c>
      <c r="AB18" s="182">
        <f>IF(AB4&gt;term_loan,0,IPMT(Input_Output!$D$57,AB4,term_loan,CFpower!$C$35))</f>
        <v>0</v>
      </c>
      <c r="AC18" s="182">
        <f>IF(AC4&gt;term_loan,0,IPMT(Input_Output!$D$57,AC4,term_loan,CFpower!$C$35))</f>
        <v>0</v>
      </c>
      <c r="AD18" s="182">
        <f>IF(AD4&gt;term_loan,0,IPMT(Input_Output!$D$57,AD4,term_loan,CFpower!$C$35))</f>
        <v>0</v>
      </c>
      <c r="AE18" s="182">
        <f>IF(AE4&gt;term_loan,0,IPMT(Input_Output!$D$57,AE4,term_loan,CFpower!$C$35))</f>
        <v>0</v>
      </c>
      <c r="AF18" s="182">
        <f>IF(AF4&gt;term_loan,0,IPMT(Input_Output!$D$57,AF4,term_loan,CFpower!$C$35))</f>
        <v>0</v>
      </c>
      <c r="AG18" s="182">
        <f>IF(AG4&gt;term_loan,0,IPMT(Input_Output!$D$57,AG4,term_loan,CFpower!$C$35))</f>
        <v>0</v>
      </c>
      <c r="AH18" s="182">
        <f>IF(AH4&gt;term_loan,0,IPMT(Input_Output!$D$57,AH4,term_loan,CFpower!$C$35))</f>
        <v>0</v>
      </c>
      <c r="AI18" s="182">
        <f>IF(AI4&gt;term_loan,0,IPMT(Input_Output!$D$57,AI4,term_loan,CFpower!$C$35))</f>
        <v>0</v>
      </c>
      <c r="AJ18" s="182">
        <f>IF(AJ4&gt;term_loan,0,IPMT(Input_Output!$D$57,AJ4,term_loan,CFpower!$C$35))</f>
        <v>0</v>
      </c>
      <c r="AK18" s="182">
        <f>IF(AK4&gt;term_loan,0,IPMT(Input_Output!$D$57,AK4,term_loan,CFpower!$C$35))</f>
        <v>0</v>
      </c>
      <c r="AL18" s="182">
        <f>IF(AL4&gt;term_loan,0,IPMT(Input_Output!$D$57,AL4,term_loan,CFpower!$C$35))</f>
        <v>0</v>
      </c>
      <c r="AM18" s="182">
        <f>IF(AM4&gt;term_loan,0,IPMT(Input_Output!$D$57,AM4,term_loan,CFpower!$C$35))</f>
        <v>0</v>
      </c>
      <c r="AN18" s="182">
        <f>IF(AN4&gt;term_loan,0,IPMT(Input_Output!$D$57,AN4,term_loan,CFpower!$C$35))</f>
        <v>0</v>
      </c>
      <c r="AO18" s="182">
        <f>IF(AO4&gt;term_loan,0,IPMT(Input_Output!$D$57,AO4,term_loan,CFpower!$C$35))</f>
        <v>0</v>
      </c>
      <c r="AP18" s="182">
        <f>IF(AP4&gt;term_loan,0,IPMT(Input_Output!$D$57,AP4,term_loan,CFpower!$C$35))</f>
        <v>0</v>
      </c>
      <c r="AQ18" s="182">
        <f>IF(AQ4&gt;term_loan,0,IPMT(Input_Output!$D$57,AQ4,term_loan,CFpower!$C$35))</f>
        <v>0</v>
      </c>
      <c r="AR18" s="182">
        <f>IF(AR4&gt;term_loan,0,IPMT(Input_Output!$D$57,AR4,term_loan,CFpower!$C$35))</f>
        <v>0</v>
      </c>
      <c r="AS18" s="183">
        <f>IF(AS4&gt;term_loan,0,IPMT(Input_Output!$D$57,AS4,term_loan,CFpower!$C$35))</f>
        <v>0</v>
      </c>
    </row>
    <row r="19" spans="1:45" x14ac:dyDescent="0.2">
      <c r="A19" s="180"/>
      <c r="B19" s="180" t="s">
        <v>266</v>
      </c>
      <c r="C19" s="180" t="s">
        <v>255</v>
      </c>
      <c r="D19" s="180"/>
      <c r="E19" s="182"/>
      <c r="F19" s="182">
        <f>IF(F4&gt;term_loan,0,PPMT(Input_Output!$D$57,F4,term_loan,$C$35))</f>
        <v>-338145.69527665246</v>
      </c>
      <c r="G19" s="182">
        <f>IF(G4&gt;term_loan,0,PPMT(Input_Output!$D$57,G4,term_loan,$C$35))</f>
        <v>-358434.43699325161</v>
      </c>
      <c r="H19" s="182">
        <f>IF(H4&gt;term_loan,0,PPMT(Input_Output!$D$57,H4,term_loan,$C$35))</f>
        <v>-379940.5032128467</v>
      </c>
      <c r="I19" s="182">
        <f>IF(I4&gt;term_loan,0,PPMT(Input_Output!$D$57,I4,term_loan,$C$35))</f>
        <v>-402736.93340561748</v>
      </c>
      <c r="J19" s="182">
        <f>IF(J4&gt;term_loan,0,PPMT(Input_Output!$D$57,J4,term_loan,$C$35))</f>
        <v>-426901.14940995455</v>
      </c>
      <c r="K19" s="182">
        <f>IF(K4&gt;term_loan,0,PPMT(Input_Output!$D$57,K4,term_loan,$C$35))</f>
        <v>-452515.21837455174</v>
      </c>
      <c r="L19" s="182">
        <f>IF(L4&gt;term_loan,0,PPMT(Input_Output!$D$57,L4,term_loan,$C$35))</f>
        <v>-479666.13147702487</v>
      </c>
      <c r="M19" s="182">
        <f>IF(M4&gt;term_loan,0,PPMT(Input_Output!$D$57,M4,term_loan,$C$35))</f>
        <v>-508446.09936564631</v>
      </c>
      <c r="N19" s="182">
        <f>IF(N4&gt;term_loan,0,PPMT(Input_Output!$D$57,N4,term_loan,$C$35))</f>
        <v>-538952.86532758526</v>
      </c>
      <c r="O19" s="182">
        <f>IF(O4&gt;term_loan,0,PPMT(Input_Output!$D$57,O4,term_loan,$C$35))</f>
        <v>-571290.03724724019</v>
      </c>
      <c r="P19" s="182">
        <f>IF(P4&gt;term_loan,0,PPMT(Input_Output!$D$57,P4,term_loan,$C$35))</f>
        <v>-605567.4394820747</v>
      </c>
      <c r="Q19" s="182">
        <f>IF(Q4&gt;term_loan,0,PPMT(Input_Output!$D$57,Q4,term_loan,$C$35))</f>
        <v>-641901.48585099925</v>
      </c>
      <c r="R19" s="182">
        <f>IF(R4&gt;term_loan,0,PPMT(Input_Output!$D$57,R4,term_loan,$C$35))</f>
        <v>-680415.57500205911</v>
      </c>
      <c r="S19" s="182">
        <f>IF(S4&gt;term_loan,0,PPMT(Input_Output!$D$57,S4,term_loan,$C$35))</f>
        <v>-721240.5095021826</v>
      </c>
      <c r="T19" s="182">
        <f>IF(T4&gt;term_loan,0,PPMT(Input_Output!$D$57,T4,term_loan,$C$35))</f>
        <v>-764514.94007231365</v>
      </c>
      <c r="U19" s="182">
        <f>IF(U4&gt;term_loan,0,PPMT(Input_Output!$D$57,U4,term_loan,$C$35))</f>
        <v>0</v>
      </c>
      <c r="V19" s="182">
        <f>IF(V4&gt;term_loan,0,PPMT(Input_Output!$D$57,V4,term_loan,$C$35))</f>
        <v>0</v>
      </c>
      <c r="W19" s="182">
        <f>IF(W4&gt;term_loan,0,PPMT(Input_Output!$D$57,W4,term_loan,$C$35))</f>
        <v>0</v>
      </c>
      <c r="X19" s="182">
        <f>IF(X4&gt;term_loan,0,PPMT(Input_Output!$D$57,X4,term_loan,$C$35))</f>
        <v>0</v>
      </c>
      <c r="Y19" s="182">
        <f>IF(Y4&gt;term_loan,0,PPMT(Input_Output!$D$57,Y4,term_loan,$C$35))</f>
        <v>0</v>
      </c>
      <c r="Z19" s="182">
        <f>IF(Z4&gt;term_loan,0,PPMT(Input_Output!$D$57,Z4,term_loan,$C$35))</f>
        <v>0</v>
      </c>
      <c r="AA19" s="182">
        <f>IF(AA4&gt;term_loan,0,PPMT(Input_Output!$D$57,AA4,term_loan,$C$35))</f>
        <v>0</v>
      </c>
      <c r="AB19" s="182">
        <f>IF(AB4&gt;term_loan,0,PPMT(Input_Output!$D$57,AB4,term_loan,$C$35))</f>
        <v>0</v>
      </c>
      <c r="AC19" s="182">
        <f>IF(AC4&gt;term_loan,0,PPMT(Input_Output!$D$57,AC4,term_loan,$C$35))</f>
        <v>0</v>
      </c>
      <c r="AD19" s="182">
        <f>IF(AD4&gt;term_loan,0,PPMT(Input_Output!$D$57,AD4,term_loan,$C$35))</f>
        <v>0</v>
      </c>
      <c r="AE19" s="182">
        <f>IF(AE4&gt;term_loan,0,PPMT(Input_Output!$D$57,AE4,term_loan,$C$35))</f>
        <v>0</v>
      </c>
      <c r="AF19" s="182">
        <f>IF(AF4&gt;term_loan,0,PPMT(Input_Output!$D$57,AF4,term_loan,$C$35))</f>
        <v>0</v>
      </c>
      <c r="AG19" s="182">
        <f>IF(AG4&gt;term_loan,0,PPMT(Input_Output!$D$57,AG4,term_loan,$C$35))</f>
        <v>0</v>
      </c>
      <c r="AH19" s="182">
        <f>IF(AH4&gt;term_loan,0,PPMT(Input_Output!$D$57,AH4,term_loan,$C$35))</f>
        <v>0</v>
      </c>
      <c r="AI19" s="182">
        <f>IF(AI4&gt;term_loan,0,PPMT(Input_Output!$D$57,AI4,term_loan,$C$35))</f>
        <v>0</v>
      </c>
      <c r="AJ19" s="182">
        <f>IF(AJ4&gt;term_loan,0,PPMT(Input_Output!$D$57,AJ4,term_loan,$C$35))</f>
        <v>0</v>
      </c>
      <c r="AK19" s="182">
        <f>IF(AK4&gt;term_loan,0,PPMT(Input_Output!$D$57,AK4,term_loan,$C$35))</f>
        <v>0</v>
      </c>
      <c r="AL19" s="182">
        <f>IF(AL4&gt;term_loan,0,PPMT(Input_Output!$D$57,AL4,term_loan,$C$35))</f>
        <v>0</v>
      </c>
      <c r="AM19" s="182">
        <f>IF(AM4&gt;term_loan,0,PPMT(Input_Output!$D$57,AM4,term_loan,$C$35))</f>
        <v>0</v>
      </c>
      <c r="AN19" s="182">
        <f>IF(AN4&gt;term_loan,0,PPMT(Input_Output!$D$57,AN4,term_loan,$C$35))</f>
        <v>0</v>
      </c>
      <c r="AO19" s="182">
        <f>IF(AO4&gt;term_loan,0,PPMT(Input_Output!$D$57,AO4,term_loan,$C$35))</f>
        <v>0</v>
      </c>
      <c r="AP19" s="182">
        <f>IF(AP4&gt;term_loan,0,PPMT(Input_Output!$D$57,AP4,term_loan,$C$35))</f>
        <v>0</v>
      </c>
      <c r="AQ19" s="182">
        <f>IF(AQ4&gt;term_loan,0,PPMT(Input_Output!$D$57,AQ4,term_loan,$C$35))</f>
        <v>0</v>
      </c>
      <c r="AR19" s="182">
        <f>IF(AR4&gt;term_loan,0,PPMT(Input_Output!$D$57,AR4,term_loan,$C$35))</f>
        <v>0</v>
      </c>
      <c r="AS19" s="182">
        <f>IF(AS4&gt;term_loan,0,PPMT(Input_Output!$D$57,AS4,term_loan,$C$35))</f>
        <v>0</v>
      </c>
    </row>
    <row r="20" spans="1:45" s="43" customFormat="1" x14ac:dyDescent="0.2">
      <c r="A20" s="180"/>
      <c r="B20" s="180" t="s">
        <v>267</v>
      </c>
      <c r="C20" s="180" t="s">
        <v>255</v>
      </c>
      <c r="D20" s="180"/>
      <c r="E20" s="182"/>
      <c r="F20" s="182">
        <f t="shared" ref="F20:AS20" si="7">SUM(F18,F19)</f>
        <v>-810385.83647665242</v>
      </c>
      <c r="G20" s="182">
        <f t="shared" si="7"/>
        <v>-810385.83647665242</v>
      </c>
      <c r="H20" s="182">
        <f t="shared" si="7"/>
        <v>-810385.83647665242</v>
      </c>
      <c r="I20" s="182">
        <f t="shared" si="7"/>
        <v>-810385.83647665242</v>
      </c>
      <c r="J20" s="182">
        <f t="shared" si="7"/>
        <v>-810385.83647665242</v>
      </c>
      <c r="K20" s="182">
        <f t="shared" si="7"/>
        <v>-810385.83647665242</v>
      </c>
      <c r="L20" s="182">
        <f t="shared" si="7"/>
        <v>-810385.83647665242</v>
      </c>
      <c r="M20" s="182">
        <f t="shared" si="7"/>
        <v>-810385.83647665218</v>
      </c>
      <c r="N20" s="182">
        <f t="shared" si="7"/>
        <v>-810385.83647665253</v>
      </c>
      <c r="O20" s="182">
        <f t="shared" si="7"/>
        <v>-810385.8364766523</v>
      </c>
      <c r="P20" s="182">
        <f t="shared" si="7"/>
        <v>-810385.83647665242</v>
      </c>
      <c r="Q20" s="182">
        <f t="shared" si="7"/>
        <v>-810385.83647665253</v>
      </c>
      <c r="R20" s="182">
        <f t="shared" si="7"/>
        <v>-810385.83647665242</v>
      </c>
      <c r="S20" s="182">
        <f t="shared" si="7"/>
        <v>-810385.83647665242</v>
      </c>
      <c r="T20" s="182">
        <f t="shared" si="7"/>
        <v>-810385.83647665242</v>
      </c>
      <c r="U20" s="182">
        <f t="shared" si="7"/>
        <v>0</v>
      </c>
      <c r="V20" s="182">
        <f t="shared" si="7"/>
        <v>0</v>
      </c>
      <c r="W20" s="182">
        <f t="shared" si="7"/>
        <v>0</v>
      </c>
      <c r="X20" s="182">
        <f t="shared" si="7"/>
        <v>0</v>
      </c>
      <c r="Y20" s="182">
        <f t="shared" si="7"/>
        <v>0</v>
      </c>
      <c r="Z20" s="182">
        <f t="shared" si="7"/>
        <v>0</v>
      </c>
      <c r="AA20" s="182">
        <f t="shared" si="7"/>
        <v>0</v>
      </c>
      <c r="AB20" s="182">
        <f t="shared" si="7"/>
        <v>0</v>
      </c>
      <c r="AC20" s="182">
        <f t="shared" si="7"/>
        <v>0</v>
      </c>
      <c r="AD20" s="182">
        <f t="shared" si="7"/>
        <v>0</v>
      </c>
      <c r="AE20" s="182">
        <f t="shared" si="7"/>
        <v>0</v>
      </c>
      <c r="AF20" s="182">
        <f t="shared" si="7"/>
        <v>0</v>
      </c>
      <c r="AG20" s="182">
        <f t="shared" si="7"/>
        <v>0</v>
      </c>
      <c r="AH20" s="182">
        <f t="shared" si="7"/>
        <v>0</v>
      </c>
      <c r="AI20" s="182">
        <f t="shared" si="7"/>
        <v>0</v>
      </c>
      <c r="AJ20" s="182">
        <f t="shared" si="7"/>
        <v>0</v>
      </c>
      <c r="AK20" s="182">
        <f t="shared" si="7"/>
        <v>0</v>
      </c>
      <c r="AL20" s="182">
        <f t="shared" si="7"/>
        <v>0</v>
      </c>
      <c r="AM20" s="182">
        <f t="shared" si="7"/>
        <v>0</v>
      </c>
      <c r="AN20" s="182">
        <f t="shared" si="7"/>
        <v>0</v>
      </c>
      <c r="AO20" s="182">
        <f t="shared" si="7"/>
        <v>0</v>
      </c>
      <c r="AP20" s="182">
        <f t="shared" si="7"/>
        <v>0</v>
      </c>
      <c r="AQ20" s="182">
        <f t="shared" si="7"/>
        <v>0</v>
      </c>
      <c r="AR20" s="182">
        <f t="shared" si="7"/>
        <v>0</v>
      </c>
      <c r="AS20" s="183">
        <f t="shared" si="7"/>
        <v>0</v>
      </c>
    </row>
    <row r="21" spans="1:45" x14ac:dyDescent="0.2">
      <c r="A21" s="199"/>
      <c r="B21" s="180"/>
      <c r="C21" s="180"/>
      <c r="D21" s="180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3"/>
    </row>
    <row r="22" spans="1:45" x14ac:dyDescent="0.2">
      <c r="A22" s="180"/>
      <c r="B22" s="180" t="s">
        <v>268</v>
      </c>
      <c r="C22" s="180" t="s">
        <v>255</v>
      </c>
      <c r="D22" s="180"/>
      <c r="E22" s="182"/>
      <c r="F22" s="182">
        <f t="shared" ref="F22:AS22" si="8">F15+F17+F18</f>
        <v>-2010079.3144208728</v>
      </c>
      <c r="G22" s="182">
        <f t="shared" si="8"/>
        <v>-1989790.5727042737</v>
      </c>
      <c r="H22" s="182">
        <f t="shared" si="8"/>
        <v>-1968284.5064846787</v>
      </c>
      <c r="I22" s="182">
        <f t="shared" si="8"/>
        <v>-1945488.0762919078</v>
      </c>
      <c r="J22" s="182">
        <f t="shared" si="8"/>
        <v>-2221323.8602875709</v>
      </c>
      <c r="K22" s="182">
        <f t="shared" si="8"/>
        <v>-1895709.7913229736</v>
      </c>
      <c r="L22" s="182">
        <f t="shared" si="8"/>
        <v>-1868558.8782205004</v>
      </c>
      <c r="M22" s="182">
        <f t="shared" si="8"/>
        <v>-1839778.9103318788</v>
      </c>
      <c r="N22" s="182">
        <f t="shared" si="8"/>
        <v>-1809272.1443699403</v>
      </c>
      <c r="O22" s="182">
        <f t="shared" si="8"/>
        <v>-2076934.972450285</v>
      </c>
      <c r="P22" s="182">
        <f t="shared" si="8"/>
        <v>-1742657.5702154506</v>
      </c>
      <c r="Q22" s="182">
        <f t="shared" si="8"/>
        <v>-1706323.5238465262</v>
      </c>
      <c r="R22" s="182">
        <f t="shared" si="8"/>
        <v>-1667809.4346954662</v>
      </c>
      <c r="S22" s="182">
        <f t="shared" si="8"/>
        <v>-1626984.5001953426</v>
      </c>
      <c r="T22" s="182">
        <f t="shared" si="8"/>
        <v>-1883710.0696252116</v>
      </c>
      <c r="U22" s="182">
        <f t="shared" si="8"/>
        <v>0</v>
      </c>
      <c r="V22" s="182">
        <f t="shared" si="8"/>
        <v>0</v>
      </c>
      <c r="W22" s="182">
        <f t="shared" si="8"/>
        <v>0</v>
      </c>
      <c r="X22" s="182">
        <f t="shared" si="8"/>
        <v>0</v>
      </c>
      <c r="Y22" s="182">
        <f t="shared" si="8"/>
        <v>0</v>
      </c>
      <c r="Z22" s="182">
        <f t="shared" si="8"/>
        <v>0</v>
      </c>
      <c r="AA22" s="182">
        <f t="shared" si="8"/>
        <v>0</v>
      </c>
      <c r="AB22" s="182">
        <f t="shared" si="8"/>
        <v>0</v>
      </c>
      <c r="AC22" s="182">
        <f t="shared" si="8"/>
        <v>0</v>
      </c>
      <c r="AD22" s="182">
        <f t="shared" si="8"/>
        <v>0</v>
      </c>
      <c r="AE22" s="182">
        <f t="shared" si="8"/>
        <v>0</v>
      </c>
      <c r="AF22" s="182">
        <f t="shared" si="8"/>
        <v>0</v>
      </c>
      <c r="AG22" s="182">
        <f t="shared" si="8"/>
        <v>0</v>
      </c>
      <c r="AH22" s="182">
        <f t="shared" si="8"/>
        <v>0</v>
      </c>
      <c r="AI22" s="182">
        <f t="shared" si="8"/>
        <v>0</v>
      </c>
      <c r="AJ22" s="182">
        <f t="shared" si="8"/>
        <v>0</v>
      </c>
      <c r="AK22" s="182">
        <f t="shared" si="8"/>
        <v>0</v>
      </c>
      <c r="AL22" s="182">
        <f t="shared" si="8"/>
        <v>0</v>
      </c>
      <c r="AM22" s="182">
        <f t="shared" si="8"/>
        <v>0</v>
      </c>
      <c r="AN22" s="182">
        <f t="shared" si="8"/>
        <v>0</v>
      </c>
      <c r="AO22" s="182">
        <f t="shared" si="8"/>
        <v>0</v>
      </c>
      <c r="AP22" s="182">
        <f t="shared" si="8"/>
        <v>0</v>
      </c>
      <c r="AQ22" s="182">
        <f t="shared" si="8"/>
        <v>0</v>
      </c>
      <c r="AR22" s="182">
        <f t="shared" si="8"/>
        <v>0</v>
      </c>
      <c r="AS22" s="183">
        <f t="shared" si="8"/>
        <v>0</v>
      </c>
    </row>
    <row r="23" spans="1:45" x14ac:dyDescent="0.2">
      <c r="A23" s="180"/>
      <c r="B23" s="180" t="s">
        <v>269</v>
      </c>
      <c r="C23" s="180" t="s">
        <v>255</v>
      </c>
      <c r="D23" s="180"/>
      <c r="E23" s="182"/>
      <c r="F23" s="182">
        <f t="shared" ref="F23:AS23" si="9">-tax*F22</f>
        <v>502519.82860521821</v>
      </c>
      <c r="G23" s="182">
        <f t="shared" si="9"/>
        <v>497447.64317606844</v>
      </c>
      <c r="H23" s="182">
        <f t="shared" si="9"/>
        <v>492071.12662116968</v>
      </c>
      <c r="I23" s="182">
        <f t="shared" si="9"/>
        <v>486372.01907297695</v>
      </c>
      <c r="J23" s="182">
        <f t="shared" si="9"/>
        <v>555330.96507189272</v>
      </c>
      <c r="K23" s="182">
        <f t="shared" si="9"/>
        <v>473927.44783074339</v>
      </c>
      <c r="L23" s="182">
        <f t="shared" si="9"/>
        <v>467139.71955512511</v>
      </c>
      <c r="M23" s="182">
        <f t="shared" si="9"/>
        <v>459944.7275829697</v>
      </c>
      <c r="N23" s="182">
        <f t="shared" si="9"/>
        <v>452318.03609248507</v>
      </c>
      <c r="O23" s="182">
        <f t="shared" si="9"/>
        <v>519233.74311257125</v>
      </c>
      <c r="P23" s="182">
        <f t="shared" si="9"/>
        <v>435664.39255386265</v>
      </c>
      <c r="Q23" s="182">
        <f t="shared" si="9"/>
        <v>426580.88096163154</v>
      </c>
      <c r="R23" s="182">
        <f t="shared" si="9"/>
        <v>416952.35867386655</v>
      </c>
      <c r="S23" s="182">
        <f t="shared" si="9"/>
        <v>406746.12504883565</v>
      </c>
      <c r="T23" s="182">
        <f t="shared" si="9"/>
        <v>470927.51740630291</v>
      </c>
      <c r="U23" s="182">
        <f t="shared" si="9"/>
        <v>0</v>
      </c>
      <c r="V23" s="182">
        <f t="shared" si="9"/>
        <v>0</v>
      </c>
      <c r="W23" s="182">
        <f t="shared" si="9"/>
        <v>0</v>
      </c>
      <c r="X23" s="182">
        <f t="shared" si="9"/>
        <v>0</v>
      </c>
      <c r="Y23" s="182">
        <f t="shared" si="9"/>
        <v>0</v>
      </c>
      <c r="Z23" s="182">
        <f t="shared" si="9"/>
        <v>0</v>
      </c>
      <c r="AA23" s="182">
        <f t="shared" si="9"/>
        <v>0</v>
      </c>
      <c r="AB23" s="182">
        <f t="shared" si="9"/>
        <v>0</v>
      </c>
      <c r="AC23" s="182">
        <f t="shared" si="9"/>
        <v>0</v>
      </c>
      <c r="AD23" s="182">
        <f t="shared" si="9"/>
        <v>0</v>
      </c>
      <c r="AE23" s="182">
        <f t="shared" si="9"/>
        <v>0</v>
      </c>
      <c r="AF23" s="182">
        <f t="shared" si="9"/>
        <v>0</v>
      </c>
      <c r="AG23" s="182">
        <f t="shared" si="9"/>
        <v>0</v>
      </c>
      <c r="AH23" s="182">
        <f t="shared" si="9"/>
        <v>0</v>
      </c>
      <c r="AI23" s="182">
        <f t="shared" si="9"/>
        <v>0</v>
      </c>
      <c r="AJ23" s="182">
        <f t="shared" si="9"/>
        <v>0</v>
      </c>
      <c r="AK23" s="182">
        <f t="shared" si="9"/>
        <v>0</v>
      </c>
      <c r="AL23" s="182">
        <f t="shared" si="9"/>
        <v>0</v>
      </c>
      <c r="AM23" s="182">
        <f t="shared" si="9"/>
        <v>0</v>
      </c>
      <c r="AN23" s="182">
        <f t="shared" si="9"/>
        <v>0</v>
      </c>
      <c r="AO23" s="182">
        <f t="shared" si="9"/>
        <v>0</v>
      </c>
      <c r="AP23" s="182">
        <f t="shared" si="9"/>
        <v>0</v>
      </c>
      <c r="AQ23" s="182">
        <f t="shared" si="9"/>
        <v>0</v>
      </c>
      <c r="AR23" s="182">
        <f t="shared" si="9"/>
        <v>0</v>
      </c>
      <c r="AS23" s="183">
        <f t="shared" si="9"/>
        <v>0</v>
      </c>
    </row>
    <row r="24" spans="1:45" x14ac:dyDescent="0.2">
      <c r="A24" s="199"/>
      <c r="B24" s="180"/>
      <c r="C24" s="180"/>
      <c r="D24" s="180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3"/>
    </row>
    <row r="25" spans="1:45" x14ac:dyDescent="0.2">
      <c r="A25" s="195"/>
      <c r="B25" s="195" t="s">
        <v>270</v>
      </c>
      <c r="C25" s="195" t="s">
        <v>255</v>
      </c>
      <c r="D25" s="195"/>
      <c r="E25" s="197"/>
      <c r="F25" s="197">
        <f t="shared" ref="F25:AS25" si="10">F15+F20+F23</f>
        <v>-1189816.096092307</v>
      </c>
      <c r="G25" s="197">
        <f t="shared" si="10"/>
        <v>-1194888.2815214568</v>
      </c>
      <c r="H25" s="197">
        <f t="shared" si="10"/>
        <v>-1200264.7980763554</v>
      </c>
      <c r="I25" s="197">
        <f t="shared" si="10"/>
        <v>-1205963.9056245482</v>
      </c>
      <c r="J25" s="197">
        <f t="shared" si="10"/>
        <v>-1437004.9596256325</v>
      </c>
      <c r="K25" s="197">
        <f t="shared" si="10"/>
        <v>-1218408.4768667817</v>
      </c>
      <c r="L25" s="197">
        <f t="shared" si="10"/>
        <v>-1225196.2051424</v>
      </c>
      <c r="M25" s="197">
        <f t="shared" si="10"/>
        <v>-1232391.1971145552</v>
      </c>
      <c r="N25" s="197">
        <f t="shared" si="10"/>
        <v>-1240017.8886050403</v>
      </c>
      <c r="O25" s="197">
        <f t="shared" si="10"/>
        <v>-1473102.1815849536</v>
      </c>
      <c r="P25" s="197">
        <f t="shared" si="10"/>
        <v>-1256671.5321436625</v>
      </c>
      <c r="Q25" s="197">
        <f t="shared" si="10"/>
        <v>-1265755.0437358939</v>
      </c>
      <c r="R25" s="197">
        <f t="shared" si="10"/>
        <v>-1275383.5660236585</v>
      </c>
      <c r="S25" s="197">
        <f t="shared" si="10"/>
        <v>-1285589.7996486896</v>
      </c>
      <c r="T25" s="197">
        <f t="shared" si="10"/>
        <v>-1521408.4072912221</v>
      </c>
      <c r="U25" s="197">
        <f t="shared" si="10"/>
        <v>0</v>
      </c>
      <c r="V25" s="197">
        <f t="shared" si="10"/>
        <v>0</v>
      </c>
      <c r="W25" s="197">
        <f t="shared" si="10"/>
        <v>0</v>
      </c>
      <c r="X25" s="197">
        <f t="shared" si="10"/>
        <v>0</v>
      </c>
      <c r="Y25" s="197">
        <f t="shared" si="10"/>
        <v>0</v>
      </c>
      <c r="Z25" s="197">
        <f t="shared" si="10"/>
        <v>0</v>
      </c>
      <c r="AA25" s="197">
        <f t="shared" si="10"/>
        <v>0</v>
      </c>
      <c r="AB25" s="197">
        <f t="shared" si="10"/>
        <v>0</v>
      </c>
      <c r="AC25" s="197">
        <f t="shared" si="10"/>
        <v>0</v>
      </c>
      <c r="AD25" s="197">
        <f t="shared" si="10"/>
        <v>0</v>
      </c>
      <c r="AE25" s="197">
        <f t="shared" si="10"/>
        <v>0</v>
      </c>
      <c r="AF25" s="197">
        <f t="shared" si="10"/>
        <v>0</v>
      </c>
      <c r="AG25" s="197">
        <f t="shared" si="10"/>
        <v>0</v>
      </c>
      <c r="AH25" s="197">
        <f t="shared" si="10"/>
        <v>0</v>
      </c>
      <c r="AI25" s="197">
        <f t="shared" si="10"/>
        <v>0</v>
      </c>
      <c r="AJ25" s="197">
        <f t="shared" si="10"/>
        <v>0</v>
      </c>
      <c r="AK25" s="197">
        <f t="shared" si="10"/>
        <v>0</v>
      </c>
      <c r="AL25" s="197">
        <f t="shared" si="10"/>
        <v>0</v>
      </c>
      <c r="AM25" s="197">
        <f t="shared" si="10"/>
        <v>0</v>
      </c>
      <c r="AN25" s="197">
        <f t="shared" si="10"/>
        <v>0</v>
      </c>
      <c r="AO25" s="197">
        <f t="shared" si="10"/>
        <v>0</v>
      </c>
      <c r="AP25" s="197">
        <f t="shared" si="10"/>
        <v>0</v>
      </c>
      <c r="AQ25" s="197">
        <f t="shared" si="10"/>
        <v>0</v>
      </c>
      <c r="AR25" s="197">
        <f t="shared" si="10"/>
        <v>0</v>
      </c>
      <c r="AS25" s="198">
        <f t="shared" si="10"/>
        <v>0</v>
      </c>
    </row>
    <row r="26" spans="1:45" x14ac:dyDescent="0.2">
      <c r="A26" s="201"/>
      <c r="B26" s="202"/>
      <c r="C26" s="202"/>
      <c r="D26" s="203"/>
      <c r="E26" s="43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4"/>
      <c r="AI26" s="204"/>
      <c r="AJ26" s="204"/>
      <c r="AK26" s="204"/>
      <c r="AL26" s="204"/>
      <c r="AM26" s="204"/>
      <c r="AN26" s="204"/>
      <c r="AO26" s="204"/>
      <c r="AP26" s="204"/>
      <c r="AQ26" s="204"/>
      <c r="AR26" s="204"/>
      <c r="AS26" s="205"/>
    </row>
    <row r="27" spans="1:45" x14ac:dyDescent="0.2">
      <c r="A27" s="206"/>
      <c r="B27" s="180" t="s">
        <v>271</v>
      </c>
      <c r="C27" s="180" t="s">
        <v>272</v>
      </c>
      <c r="D27" s="207">
        <f>NPV(Input_Output!$D$58,F25:AS25)</f>
        <v>-7320761.181668709</v>
      </c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3"/>
    </row>
    <row r="28" spans="1:45" x14ac:dyDescent="0.2">
      <c r="A28" s="191"/>
      <c r="B28" s="190" t="s">
        <v>273</v>
      </c>
      <c r="C28" s="190" t="s">
        <v>285</v>
      </c>
      <c r="D28" s="208">
        <f>NPV(Input_Output!$D$58,F28:AS28)</f>
        <v>1935177.2971112439</v>
      </c>
      <c r="E28" s="209"/>
      <c r="F28" s="209">
        <f t="shared" ref="F28:AS28" si="11">(1-tax)*F8</f>
        <v>330948.31770000001</v>
      </c>
      <c r="G28" s="209">
        <f t="shared" si="11"/>
        <v>330948.31770000001</v>
      </c>
      <c r="H28" s="209">
        <f t="shared" si="11"/>
        <v>330948.31770000001</v>
      </c>
      <c r="I28" s="209">
        <f t="shared" si="11"/>
        <v>330948.31770000001</v>
      </c>
      <c r="J28" s="209">
        <f t="shared" si="11"/>
        <v>330948.31770000001</v>
      </c>
      <c r="K28" s="209">
        <f t="shared" si="11"/>
        <v>330948.31770000001</v>
      </c>
      <c r="L28" s="209">
        <f t="shared" si="11"/>
        <v>330948.31770000001</v>
      </c>
      <c r="M28" s="209">
        <f t="shared" si="11"/>
        <v>330948.31770000001</v>
      </c>
      <c r="N28" s="209">
        <f t="shared" si="11"/>
        <v>330948.31770000001</v>
      </c>
      <c r="O28" s="209">
        <f t="shared" si="11"/>
        <v>330948.31770000001</v>
      </c>
      <c r="P28" s="209">
        <f t="shared" si="11"/>
        <v>330948.31770000001</v>
      </c>
      <c r="Q28" s="209">
        <f t="shared" si="11"/>
        <v>330948.31770000001</v>
      </c>
      <c r="R28" s="209">
        <f t="shared" si="11"/>
        <v>330948.31770000001</v>
      </c>
      <c r="S28" s="209">
        <f t="shared" si="11"/>
        <v>330948.31770000001</v>
      </c>
      <c r="T28" s="209">
        <f t="shared" si="11"/>
        <v>330948.31770000001</v>
      </c>
      <c r="U28" s="209">
        <f t="shared" si="11"/>
        <v>0</v>
      </c>
      <c r="V28" s="209">
        <f t="shared" si="11"/>
        <v>0</v>
      </c>
      <c r="W28" s="209">
        <f t="shared" si="11"/>
        <v>0</v>
      </c>
      <c r="X28" s="209">
        <f t="shared" si="11"/>
        <v>0</v>
      </c>
      <c r="Y28" s="209">
        <f t="shared" si="11"/>
        <v>0</v>
      </c>
      <c r="Z28" s="209">
        <f t="shared" si="11"/>
        <v>0</v>
      </c>
      <c r="AA28" s="209">
        <f t="shared" si="11"/>
        <v>0</v>
      </c>
      <c r="AB28" s="209">
        <f t="shared" si="11"/>
        <v>0</v>
      </c>
      <c r="AC28" s="209">
        <f t="shared" si="11"/>
        <v>0</v>
      </c>
      <c r="AD28" s="209">
        <f t="shared" si="11"/>
        <v>0</v>
      </c>
      <c r="AE28" s="209">
        <f t="shared" si="11"/>
        <v>0</v>
      </c>
      <c r="AF28" s="209">
        <f t="shared" si="11"/>
        <v>0</v>
      </c>
      <c r="AG28" s="209">
        <f t="shared" si="11"/>
        <v>0</v>
      </c>
      <c r="AH28" s="209">
        <f t="shared" si="11"/>
        <v>0</v>
      </c>
      <c r="AI28" s="209">
        <f t="shared" si="11"/>
        <v>0</v>
      </c>
      <c r="AJ28" s="209">
        <f t="shared" si="11"/>
        <v>0</v>
      </c>
      <c r="AK28" s="209">
        <f t="shared" si="11"/>
        <v>0</v>
      </c>
      <c r="AL28" s="209">
        <f t="shared" si="11"/>
        <v>0</v>
      </c>
      <c r="AM28" s="209">
        <f t="shared" si="11"/>
        <v>0</v>
      </c>
      <c r="AN28" s="209">
        <f t="shared" si="11"/>
        <v>0</v>
      </c>
      <c r="AO28" s="209">
        <f t="shared" si="11"/>
        <v>0</v>
      </c>
      <c r="AP28" s="209">
        <f t="shared" si="11"/>
        <v>0</v>
      </c>
      <c r="AQ28" s="209">
        <f t="shared" si="11"/>
        <v>0</v>
      </c>
      <c r="AR28" s="209">
        <f t="shared" si="11"/>
        <v>0</v>
      </c>
      <c r="AS28" s="209">
        <f t="shared" si="11"/>
        <v>0</v>
      </c>
    </row>
    <row r="30" spans="1:45" x14ac:dyDescent="0.2">
      <c r="B30" s="210" t="s">
        <v>275</v>
      </c>
      <c r="C30" s="211">
        <f>(capex_subsurface+capex_power+heat_capex)*1000000</f>
        <v>9838336.2750000004</v>
      </c>
      <c r="D30" s="212" t="s">
        <v>255</v>
      </c>
      <c r="E30" s="213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</row>
    <row r="31" spans="1:45" x14ac:dyDescent="0.2">
      <c r="B31" s="199" t="s">
        <v>276</v>
      </c>
      <c r="C31" s="214">
        <f>(1-tax)*loan_rate*debt_share+equity_share*equity_return</f>
        <v>6.6000000000000003E-2</v>
      </c>
      <c r="D31" s="175"/>
      <c r="G31" s="215"/>
    </row>
    <row r="32" spans="1:45" x14ac:dyDescent="0.2">
      <c r="B32" s="199" t="s">
        <v>277</v>
      </c>
      <c r="C32" s="182">
        <f>C30</f>
        <v>9838336.2750000004</v>
      </c>
      <c r="D32" s="175" t="s">
        <v>255</v>
      </c>
      <c r="E32" s="216"/>
      <c r="G32" s="215"/>
    </row>
    <row r="33" spans="2:8" x14ac:dyDescent="0.2">
      <c r="B33" s="199" t="s">
        <v>278</v>
      </c>
      <c r="C33" s="182">
        <f>IF(fiscal_stimulus="yes",IF(stimulus_perc*C32&gt;stimulus_max*1000000,stimulus_max*1000000,stimulus_perc*C32),0)</f>
        <v>0</v>
      </c>
      <c r="D33" s="175" t="s">
        <v>255</v>
      </c>
      <c r="F33" s="217"/>
    </row>
    <row r="34" spans="2:8" x14ac:dyDescent="0.2">
      <c r="B34" s="199" t="s">
        <v>279</v>
      </c>
      <c r="C34" s="182">
        <f>(C33*tax)/(1+CFpower!C31)</f>
        <v>0</v>
      </c>
      <c r="D34" s="175" t="s">
        <v>255</v>
      </c>
      <c r="F34" s="218"/>
      <c r="G34" s="142"/>
      <c r="H34" s="219"/>
    </row>
    <row r="35" spans="2:8" x14ac:dyDescent="0.2">
      <c r="B35" s="220" t="s">
        <v>280</v>
      </c>
      <c r="C35" s="182">
        <f>C30*debt_share-C34</f>
        <v>7870669.0200000005</v>
      </c>
      <c r="D35" s="175" t="s">
        <v>255</v>
      </c>
    </row>
    <row r="36" spans="2:8" x14ac:dyDescent="0.2">
      <c r="B36" s="221" t="s">
        <v>281</v>
      </c>
      <c r="C36" s="192">
        <f>equity_share*C30</f>
        <v>1967667.2550000001</v>
      </c>
      <c r="D36" s="191" t="s">
        <v>255</v>
      </c>
    </row>
    <row r="38" spans="2:8" x14ac:dyDescent="0.2">
      <c r="C38" s="222"/>
    </row>
    <row r="39" spans="2:8" x14ac:dyDescent="0.2">
      <c r="G39" s="223"/>
    </row>
    <row r="41" spans="2:8" x14ac:dyDescent="0.2">
      <c r="G41" s="22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59</vt:i4>
      </vt:variant>
    </vt:vector>
  </HeadingPairs>
  <TitlesOfParts>
    <vt:vector size="63" baseType="lpstr">
      <vt:lpstr>Colofon</vt:lpstr>
      <vt:lpstr>Input_Output</vt:lpstr>
      <vt:lpstr>CFpower</vt:lpstr>
      <vt:lpstr>CFheat</vt:lpstr>
      <vt:lpstr>capex_power</vt:lpstr>
      <vt:lpstr>capex_subsurface</vt:lpstr>
      <vt:lpstr>coheat_feedin</vt:lpstr>
      <vt:lpstr>coheatloadhours</vt:lpstr>
      <vt:lpstr>cop</vt:lpstr>
      <vt:lpstr>Cprock</vt:lpstr>
      <vt:lpstr>Cpwater</vt:lpstr>
      <vt:lpstr>debt_share</vt:lpstr>
      <vt:lpstr>depreciation_time</vt:lpstr>
      <vt:lpstr>depth</vt:lpstr>
      <vt:lpstr>DistanceToGrid</vt:lpstr>
      <vt:lpstr>DrillCosts</vt:lpstr>
      <vt:lpstr>Efficiency</vt:lpstr>
      <vt:lpstr>efficiencydirectheat</vt:lpstr>
      <vt:lpstr>electricity_buy</vt:lpstr>
      <vt:lpstr>equity_return</vt:lpstr>
      <vt:lpstr>equity_share</vt:lpstr>
      <vt:lpstr>fiscal_benefit</vt:lpstr>
      <vt:lpstr>fiscal_stimulus</vt:lpstr>
      <vt:lpstr>fixedOMrate</vt:lpstr>
      <vt:lpstr>flowrate</vt:lpstr>
      <vt:lpstr>GridConVar</vt:lpstr>
      <vt:lpstr>GridInvest</vt:lpstr>
      <vt:lpstr>heat_capex</vt:lpstr>
      <vt:lpstr>heat_mwth</vt:lpstr>
      <vt:lpstr>heat_OMfixed</vt:lpstr>
      <vt:lpstr>heat_OMvar</vt:lpstr>
      <vt:lpstr>heat_power</vt:lpstr>
      <vt:lpstr>inflation</vt:lpstr>
      <vt:lpstr>lifetime</vt:lpstr>
      <vt:lpstr>loan_rate</vt:lpstr>
      <vt:lpstr>nrofwells</vt:lpstr>
      <vt:lpstr>ooperation_choice</vt:lpstr>
      <vt:lpstr>PlantInvest</vt:lpstr>
      <vt:lpstr>Power</vt:lpstr>
      <vt:lpstr>power_feedin</vt:lpstr>
      <vt:lpstr>power_loadhours</vt:lpstr>
      <vt:lpstr>power_OMfixed</vt:lpstr>
      <vt:lpstr>power_OMvar</vt:lpstr>
      <vt:lpstr>Input_Output!Print_Area</vt:lpstr>
      <vt:lpstr>CFpower!Print_Titles</vt:lpstr>
      <vt:lpstr>pumpcost2</vt:lpstr>
      <vt:lpstr>pumps</vt:lpstr>
      <vt:lpstr>Rhorock</vt:lpstr>
      <vt:lpstr>Rhowater</vt:lpstr>
      <vt:lpstr>StimCosts</vt:lpstr>
      <vt:lpstr>stimulus_max</vt:lpstr>
      <vt:lpstr>stimulus_perc</vt:lpstr>
      <vt:lpstr>tax</vt:lpstr>
      <vt:lpstr>Tbase</vt:lpstr>
      <vt:lpstr>term_loan</vt:lpstr>
      <vt:lpstr>thermalpower_power</vt:lpstr>
      <vt:lpstr>toutlet</vt:lpstr>
      <vt:lpstr>Treinject</vt:lpstr>
      <vt:lpstr>Ts</vt:lpstr>
      <vt:lpstr>Tx</vt:lpstr>
      <vt:lpstr>variable_OM_pumps</vt:lpstr>
      <vt:lpstr>well_pump</vt:lpstr>
      <vt:lpstr>wellcostscaling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X. van Tilburg</dc:creator>
  <dc:description/>
  <cp:lastModifiedBy>Gift Ukpoweh</cp:lastModifiedBy>
  <cp:revision>0</cp:revision>
  <cp:lastPrinted>2012-07-11T09:23:41Z</cp:lastPrinted>
  <dcterms:created xsi:type="dcterms:W3CDTF">2003-03-17T12:29:30Z</dcterms:created>
  <dcterms:modified xsi:type="dcterms:W3CDTF">2026-06-01T13:47:13Z</dcterms:modified>
  <dc:language>en-US</dc:language>
</cp:coreProperties>
</file>